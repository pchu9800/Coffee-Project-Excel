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Chu\Desktop\Data Analyst\Excel\Coffee\"/>
    </mc:Choice>
  </mc:AlternateContent>
  <xr:revisionPtr revIDLastSave="0" documentId="8_{CC09F179-5724-4E46-804A-AB1E35DCFEC9}" xr6:coauthVersionLast="47" xr6:coauthVersionMax="47" xr10:uidLastSave="{00000000-0000-0000-0000-000000000000}"/>
  <bookViews>
    <workbookView showSheetTabs="0" xWindow="-120" yWindow="-120" windowWidth="29040" windowHeight="15840" activeTab="3" xr2:uid="{00000000-000D-0000-FFFF-FFFF00000000}"/>
  </bookViews>
  <sheets>
    <sheet name="TotalSales" sheetId="18" r:id="rId1"/>
    <sheet name="CountryBarChart" sheetId="19" r:id="rId2"/>
    <sheet name="Top5Customers" sheetId="21" r:id="rId3"/>
    <sheet name="Dashboard"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24"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M8" i="17"/>
  <c r="M20" i="17"/>
  <c r="M32" i="17"/>
  <c r="M44" i="17"/>
  <c r="M56" i="17"/>
  <c r="M68" i="17"/>
  <c r="M80" i="17"/>
  <c r="M92" i="17"/>
  <c r="M104" i="17"/>
  <c r="M116" i="17"/>
  <c r="M128" i="17"/>
  <c r="M129" i="17"/>
  <c r="M140" i="17"/>
  <c r="M141" i="17"/>
  <c r="M152" i="17"/>
  <c r="M153" i="17"/>
  <c r="M164" i="17"/>
  <c r="M165" i="17"/>
  <c r="M176" i="17"/>
  <c r="M177" i="17"/>
  <c r="M188" i="17"/>
  <c r="M189" i="17"/>
  <c r="M200" i="17"/>
  <c r="M201" i="17"/>
  <c r="M212" i="17"/>
  <c r="M213" i="17"/>
  <c r="M224" i="17"/>
  <c r="M225" i="17"/>
  <c r="M236" i="17"/>
  <c r="M237" i="17"/>
  <c r="M248" i="17"/>
  <c r="M249" i="17"/>
  <c r="M260" i="17"/>
  <c r="M261" i="17"/>
  <c r="M272" i="17"/>
  <c r="M273" i="17"/>
  <c r="M284" i="17"/>
  <c r="M285" i="17"/>
  <c r="M296" i="17"/>
  <c r="M297" i="17"/>
  <c r="M308" i="17"/>
  <c r="M309" i="17"/>
  <c r="M320" i="17"/>
  <c r="M321" i="17"/>
  <c r="M332" i="17"/>
  <c r="M333" i="17"/>
  <c r="M344" i="17"/>
  <c r="M345" i="17"/>
  <c r="M356" i="17"/>
  <c r="M357" i="17"/>
  <c r="M368" i="17"/>
  <c r="M369" i="17"/>
  <c r="M380" i="17"/>
  <c r="M381" i="17"/>
  <c r="M392" i="17"/>
  <c r="M393" i="17"/>
  <c r="M404" i="17"/>
  <c r="M405" i="17"/>
  <c r="M416" i="17"/>
  <c r="M417" i="17"/>
  <c r="M428" i="17"/>
  <c r="M429" i="17"/>
  <c r="M440" i="17"/>
  <c r="M441" i="17"/>
  <c r="M452" i="17"/>
  <c r="M453" i="17"/>
  <c r="M464" i="17"/>
  <c r="M465" i="17"/>
  <c r="M476" i="17"/>
  <c r="M477" i="17"/>
  <c r="M488" i="17"/>
  <c r="M489" i="17"/>
  <c r="M500" i="17"/>
  <c r="M501" i="17"/>
  <c r="M512" i="17"/>
  <c r="M513" i="17"/>
  <c r="M524" i="17"/>
  <c r="M525" i="17"/>
  <c r="M536" i="17"/>
  <c r="M537" i="17"/>
  <c r="M548" i="17"/>
  <c r="M549" i="17"/>
  <c r="M560" i="17"/>
  <c r="M561" i="17"/>
  <c r="M572" i="17"/>
  <c r="M573" i="17"/>
  <c r="M584" i="17"/>
  <c r="M596" i="17"/>
  <c r="M608" i="17"/>
  <c r="M620" i="17"/>
  <c r="M632" i="17"/>
  <c r="M644" i="17"/>
  <c r="M656" i="17"/>
  <c r="M668" i="17"/>
  <c r="M680" i="17"/>
  <c r="M692" i="17"/>
  <c r="M704" i="17"/>
  <c r="M716" i="17"/>
  <c r="M728" i="17"/>
  <c r="M740" i="17"/>
  <c r="M752" i="17"/>
  <c r="M764" i="17"/>
  <c r="M776" i="17"/>
  <c r="M788" i="17"/>
  <c r="M800" i="17"/>
  <c r="M812" i="17"/>
  <c r="M824" i="17"/>
  <c r="M836" i="17"/>
  <c r="M848" i="17"/>
  <c r="M860" i="17"/>
  <c r="M872" i="17"/>
  <c r="M932" i="17"/>
  <c r="M944" i="17"/>
  <c r="L3" i="17"/>
  <c r="M3" i="17" s="1"/>
  <c r="L4" i="17"/>
  <c r="M4" i="17" s="1"/>
  <c r="L5" i="17"/>
  <c r="M5" i="17" s="1"/>
  <c r="L6" i="17"/>
  <c r="M6" i="17" s="1"/>
  <c r="L7" i="17"/>
  <c r="M7" i="17" s="1"/>
  <c r="L8" i="17"/>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L129" i="17"/>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L141" i="17"/>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L153" i="17"/>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L165" i="17"/>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L177" i="17"/>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L189" i="17"/>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L201" i="17"/>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L213" i="17"/>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L225" i="17"/>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L237" i="17"/>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L249" i="17"/>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L261" i="17"/>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L273" i="17"/>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L285" i="17"/>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L297" i="17"/>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L309" i="17"/>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L321" i="17"/>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L333" i="17"/>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L345" i="17"/>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L357" i="17"/>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L369" i="17"/>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L381" i="17"/>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L393" i="17"/>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L405" i="17"/>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L417" i="17"/>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L429" i="17"/>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L441" i="17"/>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L453" i="17"/>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L465" i="17"/>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L477" i="17"/>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L489" i="17"/>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L501" i="17"/>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L513" i="17"/>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L525" i="17"/>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L537" i="17"/>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L549" i="17"/>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L561" i="17"/>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L573" i="17"/>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O3" i="17"/>
  <c r="O35" i="17"/>
  <c r="O189" i="17"/>
  <c r="O190" i="17"/>
  <c r="O357" i="17"/>
  <c r="O518" i="17"/>
  <c r="O520" i="17"/>
  <c r="O669" i="17"/>
  <c r="O670" i="17"/>
  <c r="O810" i="17"/>
  <c r="O811" i="17"/>
  <c r="O930" i="17"/>
  <c r="O932" i="17"/>
  <c r="N7" i="17"/>
  <c r="N10" i="17"/>
  <c r="N22" i="17"/>
  <c r="N80" i="17"/>
  <c r="N82" i="17"/>
  <c r="N94" i="17"/>
  <c r="N147" i="17"/>
  <c r="N148" i="17"/>
  <c r="N159" i="17"/>
  <c r="N208" i="17"/>
  <c r="N210" i="17"/>
  <c r="N270" i="17"/>
  <c r="N271" i="17"/>
  <c r="N324" i="17"/>
  <c r="N325" i="17"/>
  <c r="N361" i="17"/>
  <c r="N362" i="17"/>
  <c r="N397" i="17"/>
  <c r="N398" i="17"/>
  <c r="N433" i="17"/>
  <c r="N434" i="17"/>
  <c r="N469" i="17"/>
  <c r="N470" i="17"/>
  <c r="N505" i="17"/>
  <c r="N506" i="17"/>
  <c r="N541" i="17"/>
  <c r="N542" i="17"/>
  <c r="N577" i="17"/>
  <c r="N578" i="17"/>
  <c r="N613" i="17"/>
  <c r="N614" i="17"/>
  <c r="N649" i="17"/>
  <c r="N650" i="17"/>
  <c r="N685" i="17"/>
  <c r="N686" i="17"/>
  <c r="N721" i="17"/>
  <c r="N722" i="17"/>
  <c r="N757" i="17"/>
  <c r="N758" i="17"/>
  <c r="N790" i="17"/>
  <c r="N791" i="17"/>
  <c r="N808" i="17"/>
  <c r="N812" i="17"/>
  <c r="N829" i="17"/>
  <c r="N830" i="17"/>
  <c r="N850" i="17"/>
  <c r="N851" i="17"/>
  <c r="N866" i="17"/>
  <c r="N867" i="17"/>
  <c r="N886" i="17"/>
  <c r="N887" i="17"/>
  <c r="N902" i="17"/>
  <c r="N903" i="17"/>
  <c r="N917" i="17"/>
  <c r="N919" i="17"/>
  <c r="N931" i="17"/>
  <c r="N932" i="17"/>
  <c r="N944" i="17"/>
  <c r="N945" i="17"/>
  <c r="N957" i="17"/>
  <c r="N958" i="17"/>
  <c r="N970" i="17"/>
  <c r="N971" i="17"/>
  <c r="N983" i="17"/>
  <c r="N984" i="17"/>
  <c r="N996" i="17"/>
  <c r="N997" i="17"/>
  <c r="K8" i="17"/>
  <c r="J5" i="17"/>
  <c r="O5" i="17" s="1"/>
  <c r="I2" i="17"/>
  <c r="N2" i="17" s="1"/>
  <c r="J2" i="17"/>
  <c r="O2" i="17" s="1"/>
  <c r="I3" i="17"/>
  <c r="N3" i="17" s="1"/>
  <c r="J3" i="17"/>
  <c r="K3" i="17"/>
  <c r="I4" i="17"/>
  <c r="N4" i="17" s="1"/>
  <c r="J4" i="17"/>
  <c r="O4" i="17" s="1"/>
  <c r="K4" i="17"/>
  <c r="I5" i="17"/>
  <c r="N5" i="17" s="1"/>
  <c r="K5" i="17"/>
  <c r="I6" i="17"/>
  <c r="N6" i="17" s="1"/>
  <c r="J6" i="17"/>
  <c r="O6" i="17" s="1"/>
  <c r="K6" i="17"/>
  <c r="I7" i="17"/>
  <c r="J7" i="17"/>
  <c r="O7" i="17" s="1"/>
  <c r="K7" i="17"/>
  <c r="I8" i="17"/>
  <c r="N8" i="17" s="1"/>
  <c r="J8" i="17"/>
  <c r="O8" i="17" s="1"/>
  <c r="I9" i="17"/>
  <c r="N9" i="17" s="1"/>
  <c r="J9" i="17"/>
  <c r="O9" i="17" s="1"/>
  <c r="K9" i="17"/>
  <c r="I10" i="17"/>
  <c r="J10" i="17"/>
  <c r="O10" i="17" s="1"/>
  <c r="K10" i="17"/>
  <c r="I11" i="17"/>
  <c r="N11" i="17" s="1"/>
  <c r="J11" i="17"/>
  <c r="O11" i="17" s="1"/>
  <c r="K11" i="17"/>
  <c r="I12" i="17"/>
  <c r="N12" i="17" s="1"/>
  <c r="J12" i="17"/>
  <c r="O12" i="17" s="1"/>
  <c r="K12" i="17"/>
  <c r="I13" i="17"/>
  <c r="N13" i="17" s="1"/>
  <c r="J13" i="17"/>
  <c r="O13" i="17" s="1"/>
  <c r="K13" i="17"/>
  <c r="I14" i="17"/>
  <c r="N14" i="17" s="1"/>
  <c r="J14" i="17"/>
  <c r="O14" i="17" s="1"/>
  <c r="K14" i="17"/>
  <c r="I15" i="17"/>
  <c r="N15" i="17" s="1"/>
  <c r="J15" i="17"/>
  <c r="O15" i="17" s="1"/>
  <c r="K15" i="17"/>
  <c r="I16" i="17"/>
  <c r="N16" i="17" s="1"/>
  <c r="J16" i="17"/>
  <c r="O16" i="17" s="1"/>
  <c r="K16" i="17"/>
  <c r="I17" i="17"/>
  <c r="N17" i="17" s="1"/>
  <c r="J17" i="17"/>
  <c r="O17" i="17" s="1"/>
  <c r="K17" i="17"/>
  <c r="I18" i="17"/>
  <c r="N18" i="17" s="1"/>
  <c r="J18" i="17"/>
  <c r="O18" i="17" s="1"/>
  <c r="K18" i="17"/>
  <c r="I19" i="17"/>
  <c r="N19" i="17" s="1"/>
  <c r="J19" i="17"/>
  <c r="O19" i="17" s="1"/>
  <c r="K19" i="17"/>
  <c r="I20" i="17"/>
  <c r="N20" i="17" s="1"/>
  <c r="J20" i="17"/>
  <c r="O20" i="17" s="1"/>
  <c r="K20" i="17"/>
  <c r="I21" i="17"/>
  <c r="N21" i="17" s="1"/>
  <c r="J21" i="17"/>
  <c r="O21" i="17" s="1"/>
  <c r="K21" i="17"/>
  <c r="I22" i="17"/>
  <c r="J22" i="17"/>
  <c r="O22" i="17" s="1"/>
  <c r="K22" i="17"/>
  <c r="I23" i="17"/>
  <c r="N23" i="17" s="1"/>
  <c r="J23" i="17"/>
  <c r="O23" i="17" s="1"/>
  <c r="K23" i="17"/>
  <c r="I24" i="17"/>
  <c r="N24" i="17" s="1"/>
  <c r="J24" i="17"/>
  <c r="O24" i="17" s="1"/>
  <c r="K24" i="17"/>
  <c r="I25" i="17"/>
  <c r="N25" i="17" s="1"/>
  <c r="J25" i="17"/>
  <c r="O25" i="17" s="1"/>
  <c r="K25" i="17"/>
  <c r="I26" i="17"/>
  <c r="N26" i="17" s="1"/>
  <c r="J26" i="17"/>
  <c r="O26" i="17" s="1"/>
  <c r="K26" i="17"/>
  <c r="I27" i="17"/>
  <c r="N27" i="17" s="1"/>
  <c r="J27" i="17"/>
  <c r="O27" i="17" s="1"/>
  <c r="K27" i="17"/>
  <c r="I28" i="17"/>
  <c r="N28" i="17" s="1"/>
  <c r="J28" i="17"/>
  <c r="O28" i="17" s="1"/>
  <c r="K28" i="17"/>
  <c r="I29" i="17"/>
  <c r="N29" i="17" s="1"/>
  <c r="J29" i="17"/>
  <c r="O29" i="17" s="1"/>
  <c r="K29" i="17"/>
  <c r="I30" i="17"/>
  <c r="N30" i="17" s="1"/>
  <c r="J30" i="17"/>
  <c r="O30" i="17" s="1"/>
  <c r="K30" i="17"/>
  <c r="I31" i="17"/>
  <c r="N31" i="17" s="1"/>
  <c r="J31" i="17"/>
  <c r="O31" i="17" s="1"/>
  <c r="K31" i="17"/>
  <c r="I32" i="17"/>
  <c r="N32" i="17" s="1"/>
  <c r="J32" i="17"/>
  <c r="O32" i="17" s="1"/>
  <c r="K32" i="17"/>
  <c r="I33" i="17"/>
  <c r="N33" i="17" s="1"/>
  <c r="J33" i="17"/>
  <c r="O33" i="17" s="1"/>
  <c r="K33" i="17"/>
  <c r="I34" i="17"/>
  <c r="N34" i="17" s="1"/>
  <c r="J34" i="17"/>
  <c r="O34" i="17" s="1"/>
  <c r="K34" i="17"/>
  <c r="I35" i="17"/>
  <c r="N35" i="17" s="1"/>
  <c r="J35" i="17"/>
  <c r="K35" i="17"/>
  <c r="I36" i="17"/>
  <c r="N36" i="17" s="1"/>
  <c r="J36" i="17"/>
  <c r="O36" i="17" s="1"/>
  <c r="K36" i="17"/>
  <c r="I37" i="17"/>
  <c r="N37" i="17" s="1"/>
  <c r="J37" i="17"/>
  <c r="O37" i="17" s="1"/>
  <c r="K37" i="17"/>
  <c r="I38" i="17"/>
  <c r="N38" i="17" s="1"/>
  <c r="J38" i="17"/>
  <c r="O38" i="17" s="1"/>
  <c r="K38" i="17"/>
  <c r="I39" i="17"/>
  <c r="N39" i="17" s="1"/>
  <c r="J39" i="17"/>
  <c r="O39" i="17" s="1"/>
  <c r="K39" i="17"/>
  <c r="I40" i="17"/>
  <c r="N40" i="17" s="1"/>
  <c r="J40" i="17"/>
  <c r="O40" i="17" s="1"/>
  <c r="K40" i="17"/>
  <c r="I41" i="17"/>
  <c r="N41" i="17" s="1"/>
  <c r="J41" i="17"/>
  <c r="O41" i="17" s="1"/>
  <c r="K41" i="17"/>
  <c r="I42" i="17"/>
  <c r="N42" i="17" s="1"/>
  <c r="J42" i="17"/>
  <c r="O42" i="17" s="1"/>
  <c r="K42" i="17"/>
  <c r="I43" i="17"/>
  <c r="N43" i="17" s="1"/>
  <c r="J43" i="17"/>
  <c r="O43" i="17" s="1"/>
  <c r="K43" i="17"/>
  <c r="I44" i="17"/>
  <c r="N44" i="17" s="1"/>
  <c r="J44" i="17"/>
  <c r="O44" i="17" s="1"/>
  <c r="K44" i="17"/>
  <c r="I45" i="17"/>
  <c r="N45" i="17" s="1"/>
  <c r="J45" i="17"/>
  <c r="O45" i="17" s="1"/>
  <c r="K45" i="17"/>
  <c r="I46" i="17"/>
  <c r="N46" i="17" s="1"/>
  <c r="J46" i="17"/>
  <c r="O46" i="17" s="1"/>
  <c r="K46" i="17"/>
  <c r="I47" i="17"/>
  <c r="N47" i="17" s="1"/>
  <c r="J47" i="17"/>
  <c r="O47" i="17" s="1"/>
  <c r="K47" i="17"/>
  <c r="I48" i="17"/>
  <c r="N48" i="17" s="1"/>
  <c r="J48" i="17"/>
  <c r="O48" i="17" s="1"/>
  <c r="K48" i="17"/>
  <c r="I49" i="17"/>
  <c r="N49" i="17" s="1"/>
  <c r="J49" i="17"/>
  <c r="O49" i="17" s="1"/>
  <c r="K49" i="17"/>
  <c r="I50" i="17"/>
  <c r="N50" i="17" s="1"/>
  <c r="J50" i="17"/>
  <c r="O50" i="17" s="1"/>
  <c r="K50" i="17"/>
  <c r="I51" i="17"/>
  <c r="N51" i="17" s="1"/>
  <c r="J51" i="17"/>
  <c r="O51" i="17" s="1"/>
  <c r="K51" i="17"/>
  <c r="I52" i="17"/>
  <c r="N52" i="17" s="1"/>
  <c r="J52" i="17"/>
  <c r="O52" i="17" s="1"/>
  <c r="K52" i="17"/>
  <c r="I53" i="17"/>
  <c r="N53" i="17" s="1"/>
  <c r="J53" i="17"/>
  <c r="O53" i="17" s="1"/>
  <c r="K53" i="17"/>
  <c r="I54" i="17"/>
  <c r="N54" i="17" s="1"/>
  <c r="J54" i="17"/>
  <c r="O54" i="17" s="1"/>
  <c r="K54" i="17"/>
  <c r="I55" i="17"/>
  <c r="N55" i="17" s="1"/>
  <c r="J55" i="17"/>
  <c r="O55" i="17" s="1"/>
  <c r="K55" i="17"/>
  <c r="I56" i="17"/>
  <c r="N56" i="17" s="1"/>
  <c r="J56" i="17"/>
  <c r="O56" i="17" s="1"/>
  <c r="K56" i="17"/>
  <c r="I57" i="17"/>
  <c r="N57" i="17" s="1"/>
  <c r="J57" i="17"/>
  <c r="O57" i="17" s="1"/>
  <c r="K57" i="17"/>
  <c r="I58" i="17"/>
  <c r="N58" i="17" s="1"/>
  <c r="J58" i="17"/>
  <c r="O58" i="17" s="1"/>
  <c r="K58" i="17"/>
  <c r="I59" i="17"/>
  <c r="N59" i="17" s="1"/>
  <c r="J59" i="17"/>
  <c r="O59" i="17" s="1"/>
  <c r="K59" i="17"/>
  <c r="I60" i="17"/>
  <c r="N60" i="17" s="1"/>
  <c r="J60" i="17"/>
  <c r="O60" i="17" s="1"/>
  <c r="K60" i="17"/>
  <c r="I61" i="17"/>
  <c r="N61" i="17" s="1"/>
  <c r="J61" i="17"/>
  <c r="O61" i="17" s="1"/>
  <c r="K61" i="17"/>
  <c r="I62" i="17"/>
  <c r="N62" i="17" s="1"/>
  <c r="J62" i="17"/>
  <c r="O62" i="17" s="1"/>
  <c r="K62" i="17"/>
  <c r="I63" i="17"/>
  <c r="N63" i="17" s="1"/>
  <c r="J63" i="17"/>
  <c r="O63" i="17" s="1"/>
  <c r="K63" i="17"/>
  <c r="I64" i="17"/>
  <c r="N64" i="17" s="1"/>
  <c r="J64" i="17"/>
  <c r="O64" i="17" s="1"/>
  <c r="K64" i="17"/>
  <c r="I65" i="17"/>
  <c r="N65" i="17" s="1"/>
  <c r="J65" i="17"/>
  <c r="O65" i="17" s="1"/>
  <c r="K65" i="17"/>
  <c r="I66" i="17"/>
  <c r="N66" i="17" s="1"/>
  <c r="J66" i="17"/>
  <c r="O66" i="17" s="1"/>
  <c r="K66" i="17"/>
  <c r="I67" i="17"/>
  <c r="N67" i="17" s="1"/>
  <c r="J67" i="17"/>
  <c r="O67" i="17" s="1"/>
  <c r="K67" i="17"/>
  <c r="I68" i="17"/>
  <c r="N68" i="17" s="1"/>
  <c r="J68" i="17"/>
  <c r="O68" i="17" s="1"/>
  <c r="K68" i="17"/>
  <c r="I69" i="17"/>
  <c r="N69" i="17" s="1"/>
  <c r="J69" i="17"/>
  <c r="O69" i="17" s="1"/>
  <c r="K69" i="17"/>
  <c r="I70" i="17"/>
  <c r="N70" i="17" s="1"/>
  <c r="J70" i="17"/>
  <c r="O70" i="17" s="1"/>
  <c r="K70" i="17"/>
  <c r="I71" i="17"/>
  <c r="N71" i="17" s="1"/>
  <c r="J71" i="17"/>
  <c r="O71" i="17" s="1"/>
  <c r="K71" i="17"/>
  <c r="I72" i="17"/>
  <c r="N72" i="17" s="1"/>
  <c r="J72" i="17"/>
  <c r="O72" i="17" s="1"/>
  <c r="K72" i="17"/>
  <c r="I73" i="17"/>
  <c r="N73" i="17" s="1"/>
  <c r="J73" i="17"/>
  <c r="O73" i="17" s="1"/>
  <c r="K73" i="17"/>
  <c r="I74" i="17"/>
  <c r="N74" i="17" s="1"/>
  <c r="J74" i="17"/>
  <c r="O74" i="17" s="1"/>
  <c r="K74" i="17"/>
  <c r="I75" i="17"/>
  <c r="N75" i="17" s="1"/>
  <c r="J75" i="17"/>
  <c r="O75" i="17" s="1"/>
  <c r="K75" i="17"/>
  <c r="I76" i="17"/>
  <c r="N76" i="17" s="1"/>
  <c r="J76" i="17"/>
  <c r="O76" i="17" s="1"/>
  <c r="K76" i="17"/>
  <c r="I77" i="17"/>
  <c r="N77" i="17" s="1"/>
  <c r="J77" i="17"/>
  <c r="O77" i="17" s="1"/>
  <c r="K77" i="17"/>
  <c r="I78" i="17"/>
  <c r="N78" i="17" s="1"/>
  <c r="J78" i="17"/>
  <c r="O78" i="17" s="1"/>
  <c r="K78" i="17"/>
  <c r="I79" i="17"/>
  <c r="N79" i="17" s="1"/>
  <c r="J79" i="17"/>
  <c r="O79" i="17" s="1"/>
  <c r="K79" i="17"/>
  <c r="I80" i="17"/>
  <c r="J80" i="17"/>
  <c r="O80" i="17" s="1"/>
  <c r="K80" i="17"/>
  <c r="I81" i="17"/>
  <c r="N81" i="17" s="1"/>
  <c r="J81" i="17"/>
  <c r="O81" i="17" s="1"/>
  <c r="K81" i="17"/>
  <c r="I82" i="17"/>
  <c r="J82" i="17"/>
  <c r="O82" i="17" s="1"/>
  <c r="K82" i="17"/>
  <c r="I83" i="17"/>
  <c r="N83" i="17" s="1"/>
  <c r="J83" i="17"/>
  <c r="O83" i="17" s="1"/>
  <c r="K83" i="17"/>
  <c r="I84" i="17"/>
  <c r="N84" i="17" s="1"/>
  <c r="J84" i="17"/>
  <c r="O84" i="17" s="1"/>
  <c r="K84" i="17"/>
  <c r="I85" i="17"/>
  <c r="N85" i="17" s="1"/>
  <c r="J85" i="17"/>
  <c r="O85" i="17" s="1"/>
  <c r="K85" i="17"/>
  <c r="I86" i="17"/>
  <c r="N86" i="17" s="1"/>
  <c r="J86" i="17"/>
  <c r="O86" i="17" s="1"/>
  <c r="K86" i="17"/>
  <c r="I87" i="17"/>
  <c r="N87" i="17" s="1"/>
  <c r="J87" i="17"/>
  <c r="O87" i="17" s="1"/>
  <c r="K87" i="17"/>
  <c r="I88" i="17"/>
  <c r="N88" i="17" s="1"/>
  <c r="J88" i="17"/>
  <c r="O88" i="17" s="1"/>
  <c r="K88" i="17"/>
  <c r="I89" i="17"/>
  <c r="N89" i="17" s="1"/>
  <c r="J89" i="17"/>
  <c r="O89" i="17" s="1"/>
  <c r="K89" i="17"/>
  <c r="I90" i="17"/>
  <c r="N90" i="17" s="1"/>
  <c r="J90" i="17"/>
  <c r="O90" i="17" s="1"/>
  <c r="K90" i="17"/>
  <c r="I91" i="17"/>
  <c r="N91" i="17" s="1"/>
  <c r="J91" i="17"/>
  <c r="O91" i="17" s="1"/>
  <c r="K91" i="17"/>
  <c r="I92" i="17"/>
  <c r="N92" i="17" s="1"/>
  <c r="J92" i="17"/>
  <c r="O92" i="17" s="1"/>
  <c r="K92" i="17"/>
  <c r="I93" i="17"/>
  <c r="N93" i="17" s="1"/>
  <c r="J93" i="17"/>
  <c r="O93" i="17" s="1"/>
  <c r="K93" i="17"/>
  <c r="I94" i="17"/>
  <c r="J94" i="17"/>
  <c r="O94" i="17" s="1"/>
  <c r="K94" i="17"/>
  <c r="I95" i="17"/>
  <c r="N95" i="17" s="1"/>
  <c r="J95" i="17"/>
  <c r="O95" i="17" s="1"/>
  <c r="K95" i="17"/>
  <c r="I96" i="17"/>
  <c r="N96" i="17" s="1"/>
  <c r="J96" i="17"/>
  <c r="O96" i="17" s="1"/>
  <c r="K96" i="17"/>
  <c r="I97" i="17"/>
  <c r="N97" i="17" s="1"/>
  <c r="J97" i="17"/>
  <c r="O97" i="17" s="1"/>
  <c r="K97" i="17"/>
  <c r="I98" i="17"/>
  <c r="N98" i="17" s="1"/>
  <c r="J98" i="17"/>
  <c r="O98" i="17" s="1"/>
  <c r="K98" i="17"/>
  <c r="I99" i="17"/>
  <c r="N99" i="17" s="1"/>
  <c r="J99" i="17"/>
  <c r="O99" i="17" s="1"/>
  <c r="K99" i="17"/>
  <c r="I100" i="17"/>
  <c r="N100" i="17" s="1"/>
  <c r="J100" i="17"/>
  <c r="O100" i="17" s="1"/>
  <c r="K100" i="17"/>
  <c r="I101" i="17"/>
  <c r="N101" i="17" s="1"/>
  <c r="J101" i="17"/>
  <c r="O101" i="17" s="1"/>
  <c r="K101" i="17"/>
  <c r="I102" i="17"/>
  <c r="N102" i="17" s="1"/>
  <c r="J102" i="17"/>
  <c r="O102" i="17" s="1"/>
  <c r="K102" i="17"/>
  <c r="I103" i="17"/>
  <c r="N103" i="17" s="1"/>
  <c r="J103" i="17"/>
  <c r="O103" i="17" s="1"/>
  <c r="K103" i="17"/>
  <c r="I104" i="17"/>
  <c r="N104" i="17" s="1"/>
  <c r="J104" i="17"/>
  <c r="O104" i="17" s="1"/>
  <c r="K104" i="17"/>
  <c r="I105" i="17"/>
  <c r="N105" i="17" s="1"/>
  <c r="J105" i="17"/>
  <c r="O105" i="17" s="1"/>
  <c r="K105" i="17"/>
  <c r="I106" i="17"/>
  <c r="N106" i="17" s="1"/>
  <c r="J106" i="17"/>
  <c r="O106" i="17" s="1"/>
  <c r="K106" i="17"/>
  <c r="I107" i="17"/>
  <c r="N107" i="17" s="1"/>
  <c r="J107" i="17"/>
  <c r="O107" i="17" s="1"/>
  <c r="K107" i="17"/>
  <c r="I108" i="17"/>
  <c r="N108" i="17" s="1"/>
  <c r="J108" i="17"/>
  <c r="O108" i="17" s="1"/>
  <c r="K108" i="17"/>
  <c r="I109" i="17"/>
  <c r="N109" i="17" s="1"/>
  <c r="J109" i="17"/>
  <c r="O109" i="17" s="1"/>
  <c r="K109" i="17"/>
  <c r="I110" i="17"/>
  <c r="N110" i="17" s="1"/>
  <c r="J110" i="17"/>
  <c r="O110" i="17" s="1"/>
  <c r="K110" i="17"/>
  <c r="I111" i="17"/>
  <c r="N111" i="17" s="1"/>
  <c r="J111" i="17"/>
  <c r="O111" i="17" s="1"/>
  <c r="K111" i="17"/>
  <c r="I112" i="17"/>
  <c r="N112" i="17" s="1"/>
  <c r="J112" i="17"/>
  <c r="O112" i="17" s="1"/>
  <c r="K112" i="17"/>
  <c r="I113" i="17"/>
  <c r="N113" i="17" s="1"/>
  <c r="J113" i="17"/>
  <c r="O113" i="17" s="1"/>
  <c r="K113" i="17"/>
  <c r="I114" i="17"/>
  <c r="N114" i="17" s="1"/>
  <c r="J114" i="17"/>
  <c r="O114" i="17" s="1"/>
  <c r="K114" i="17"/>
  <c r="I115" i="17"/>
  <c r="N115" i="17" s="1"/>
  <c r="J115" i="17"/>
  <c r="O115" i="17" s="1"/>
  <c r="K115" i="17"/>
  <c r="I116" i="17"/>
  <c r="N116" i="17" s="1"/>
  <c r="J116" i="17"/>
  <c r="O116" i="17" s="1"/>
  <c r="K116" i="17"/>
  <c r="I117" i="17"/>
  <c r="N117" i="17" s="1"/>
  <c r="J117" i="17"/>
  <c r="O117" i="17" s="1"/>
  <c r="K117" i="17"/>
  <c r="I118" i="17"/>
  <c r="N118" i="17" s="1"/>
  <c r="J118" i="17"/>
  <c r="O118" i="17" s="1"/>
  <c r="K118" i="17"/>
  <c r="I119" i="17"/>
  <c r="N119" i="17" s="1"/>
  <c r="J119" i="17"/>
  <c r="O119" i="17" s="1"/>
  <c r="K119" i="17"/>
  <c r="I120" i="17"/>
  <c r="N120" i="17" s="1"/>
  <c r="J120" i="17"/>
  <c r="O120" i="17" s="1"/>
  <c r="K120" i="17"/>
  <c r="I121" i="17"/>
  <c r="N121" i="17" s="1"/>
  <c r="J121" i="17"/>
  <c r="O121" i="17" s="1"/>
  <c r="K121" i="17"/>
  <c r="I122" i="17"/>
  <c r="N122" i="17" s="1"/>
  <c r="J122" i="17"/>
  <c r="O122" i="17" s="1"/>
  <c r="K122" i="17"/>
  <c r="I123" i="17"/>
  <c r="N123" i="17" s="1"/>
  <c r="J123" i="17"/>
  <c r="O123" i="17" s="1"/>
  <c r="K123" i="17"/>
  <c r="I124" i="17"/>
  <c r="N124" i="17" s="1"/>
  <c r="J124" i="17"/>
  <c r="O124" i="17" s="1"/>
  <c r="K124" i="17"/>
  <c r="I125" i="17"/>
  <c r="N125" i="17" s="1"/>
  <c r="J125" i="17"/>
  <c r="O125" i="17" s="1"/>
  <c r="K125" i="17"/>
  <c r="I126" i="17"/>
  <c r="N126" i="17" s="1"/>
  <c r="J126" i="17"/>
  <c r="O126" i="17" s="1"/>
  <c r="K126" i="17"/>
  <c r="I127" i="17"/>
  <c r="N127" i="17" s="1"/>
  <c r="J127" i="17"/>
  <c r="O127" i="17" s="1"/>
  <c r="K127" i="17"/>
  <c r="I128" i="17"/>
  <c r="N128" i="17" s="1"/>
  <c r="J128" i="17"/>
  <c r="O128" i="17" s="1"/>
  <c r="K128" i="17"/>
  <c r="I129" i="17"/>
  <c r="N129" i="17" s="1"/>
  <c r="J129" i="17"/>
  <c r="O129" i="17" s="1"/>
  <c r="K129" i="17"/>
  <c r="I130" i="17"/>
  <c r="N130" i="17" s="1"/>
  <c r="J130" i="17"/>
  <c r="O130" i="17" s="1"/>
  <c r="K130" i="17"/>
  <c r="I131" i="17"/>
  <c r="N131" i="17" s="1"/>
  <c r="J131" i="17"/>
  <c r="O131" i="17" s="1"/>
  <c r="K131" i="17"/>
  <c r="I132" i="17"/>
  <c r="N132" i="17" s="1"/>
  <c r="J132" i="17"/>
  <c r="O132" i="17" s="1"/>
  <c r="K132" i="17"/>
  <c r="I133" i="17"/>
  <c r="N133" i="17" s="1"/>
  <c r="J133" i="17"/>
  <c r="O133" i="17" s="1"/>
  <c r="K133" i="17"/>
  <c r="I134" i="17"/>
  <c r="N134" i="17" s="1"/>
  <c r="J134" i="17"/>
  <c r="O134" i="17" s="1"/>
  <c r="K134" i="17"/>
  <c r="I135" i="17"/>
  <c r="N135" i="17" s="1"/>
  <c r="J135" i="17"/>
  <c r="O135" i="17" s="1"/>
  <c r="K135" i="17"/>
  <c r="I136" i="17"/>
  <c r="N136" i="17" s="1"/>
  <c r="J136" i="17"/>
  <c r="O136" i="17" s="1"/>
  <c r="K136" i="17"/>
  <c r="I137" i="17"/>
  <c r="N137" i="17" s="1"/>
  <c r="J137" i="17"/>
  <c r="O137" i="17" s="1"/>
  <c r="K137" i="17"/>
  <c r="I138" i="17"/>
  <c r="N138" i="17" s="1"/>
  <c r="J138" i="17"/>
  <c r="O138" i="17" s="1"/>
  <c r="K138" i="17"/>
  <c r="I139" i="17"/>
  <c r="N139" i="17" s="1"/>
  <c r="J139" i="17"/>
  <c r="O139" i="17" s="1"/>
  <c r="K139" i="17"/>
  <c r="I140" i="17"/>
  <c r="N140" i="17" s="1"/>
  <c r="J140" i="17"/>
  <c r="O140" i="17" s="1"/>
  <c r="K140" i="17"/>
  <c r="I141" i="17"/>
  <c r="N141" i="17" s="1"/>
  <c r="J141" i="17"/>
  <c r="O141" i="17" s="1"/>
  <c r="K141" i="17"/>
  <c r="I142" i="17"/>
  <c r="N142" i="17" s="1"/>
  <c r="J142" i="17"/>
  <c r="O142" i="17" s="1"/>
  <c r="K142" i="17"/>
  <c r="I143" i="17"/>
  <c r="N143" i="17" s="1"/>
  <c r="J143" i="17"/>
  <c r="O143" i="17" s="1"/>
  <c r="K143" i="17"/>
  <c r="I144" i="17"/>
  <c r="N144" i="17" s="1"/>
  <c r="J144" i="17"/>
  <c r="O144" i="17" s="1"/>
  <c r="K144" i="17"/>
  <c r="I145" i="17"/>
  <c r="N145" i="17" s="1"/>
  <c r="J145" i="17"/>
  <c r="O145" i="17" s="1"/>
  <c r="K145" i="17"/>
  <c r="I146" i="17"/>
  <c r="N146" i="17" s="1"/>
  <c r="J146" i="17"/>
  <c r="O146" i="17" s="1"/>
  <c r="K146" i="17"/>
  <c r="I147" i="17"/>
  <c r="J147" i="17"/>
  <c r="O147" i="17" s="1"/>
  <c r="K147" i="17"/>
  <c r="I148" i="17"/>
  <c r="J148" i="17"/>
  <c r="O148" i="17" s="1"/>
  <c r="K148" i="17"/>
  <c r="I149" i="17"/>
  <c r="N149" i="17" s="1"/>
  <c r="J149" i="17"/>
  <c r="O149" i="17" s="1"/>
  <c r="K149" i="17"/>
  <c r="I150" i="17"/>
  <c r="N150" i="17" s="1"/>
  <c r="J150" i="17"/>
  <c r="O150" i="17" s="1"/>
  <c r="K150" i="17"/>
  <c r="I151" i="17"/>
  <c r="N151" i="17" s="1"/>
  <c r="J151" i="17"/>
  <c r="O151" i="17" s="1"/>
  <c r="K151" i="17"/>
  <c r="I152" i="17"/>
  <c r="N152" i="17" s="1"/>
  <c r="J152" i="17"/>
  <c r="O152" i="17" s="1"/>
  <c r="K152" i="17"/>
  <c r="I153" i="17"/>
  <c r="N153" i="17" s="1"/>
  <c r="J153" i="17"/>
  <c r="O153" i="17" s="1"/>
  <c r="K153" i="17"/>
  <c r="I154" i="17"/>
  <c r="N154" i="17" s="1"/>
  <c r="J154" i="17"/>
  <c r="O154" i="17" s="1"/>
  <c r="K154" i="17"/>
  <c r="I155" i="17"/>
  <c r="N155" i="17" s="1"/>
  <c r="J155" i="17"/>
  <c r="O155" i="17" s="1"/>
  <c r="K155" i="17"/>
  <c r="I156" i="17"/>
  <c r="N156" i="17" s="1"/>
  <c r="J156" i="17"/>
  <c r="O156" i="17" s="1"/>
  <c r="K156" i="17"/>
  <c r="I157" i="17"/>
  <c r="N157" i="17" s="1"/>
  <c r="J157" i="17"/>
  <c r="O157" i="17" s="1"/>
  <c r="K157" i="17"/>
  <c r="I158" i="17"/>
  <c r="N158" i="17" s="1"/>
  <c r="J158" i="17"/>
  <c r="O158" i="17" s="1"/>
  <c r="K158" i="17"/>
  <c r="I159" i="17"/>
  <c r="J159" i="17"/>
  <c r="O159" i="17" s="1"/>
  <c r="K159" i="17"/>
  <c r="I160" i="17"/>
  <c r="N160" i="17" s="1"/>
  <c r="J160" i="17"/>
  <c r="O160" i="17" s="1"/>
  <c r="K160" i="17"/>
  <c r="I161" i="17"/>
  <c r="N161" i="17" s="1"/>
  <c r="J161" i="17"/>
  <c r="O161" i="17" s="1"/>
  <c r="K161" i="17"/>
  <c r="I162" i="17"/>
  <c r="N162" i="17" s="1"/>
  <c r="J162" i="17"/>
  <c r="O162" i="17" s="1"/>
  <c r="K162" i="17"/>
  <c r="I163" i="17"/>
  <c r="N163" i="17" s="1"/>
  <c r="J163" i="17"/>
  <c r="O163" i="17" s="1"/>
  <c r="K163" i="17"/>
  <c r="I164" i="17"/>
  <c r="N164" i="17" s="1"/>
  <c r="J164" i="17"/>
  <c r="O164" i="17" s="1"/>
  <c r="K164" i="17"/>
  <c r="I165" i="17"/>
  <c r="N165" i="17" s="1"/>
  <c r="J165" i="17"/>
  <c r="O165" i="17" s="1"/>
  <c r="K165" i="17"/>
  <c r="I166" i="17"/>
  <c r="N166" i="17" s="1"/>
  <c r="J166" i="17"/>
  <c r="O166" i="17" s="1"/>
  <c r="K166" i="17"/>
  <c r="I167" i="17"/>
  <c r="N167" i="17" s="1"/>
  <c r="J167" i="17"/>
  <c r="O167" i="17" s="1"/>
  <c r="K167" i="17"/>
  <c r="I168" i="17"/>
  <c r="N168" i="17" s="1"/>
  <c r="J168" i="17"/>
  <c r="O168" i="17" s="1"/>
  <c r="K168" i="17"/>
  <c r="I169" i="17"/>
  <c r="N169" i="17" s="1"/>
  <c r="J169" i="17"/>
  <c r="O169" i="17" s="1"/>
  <c r="K169" i="17"/>
  <c r="I170" i="17"/>
  <c r="N170" i="17" s="1"/>
  <c r="J170" i="17"/>
  <c r="O170" i="17" s="1"/>
  <c r="K170" i="17"/>
  <c r="I171" i="17"/>
  <c r="N171" i="17" s="1"/>
  <c r="J171" i="17"/>
  <c r="O171" i="17" s="1"/>
  <c r="K171" i="17"/>
  <c r="I172" i="17"/>
  <c r="N172" i="17" s="1"/>
  <c r="J172" i="17"/>
  <c r="O172" i="17" s="1"/>
  <c r="K172" i="17"/>
  <c r="I173" i="17"/>
  <c r="N173" i="17" s="1"/>
  <c r="J173" i="17"/>
  <c r="O173" i="17" s="1"/>
  <c r="K173" i="17"/>
  <c r="I174" i="17"/>
  <c r="N174" i="17" s="1"/>
  <c r="J174" i="17"/>
  <c r="O174" i="17" s="1"/>
  <c r="K174" i="17"/>
  <c r="I175" i="17"/>
  <c r="N175" i="17" s="1"/>
  <c r="J175" i="17"/>
  <c r="O175" i="17" s="1"/>
  <c r="K175" i="17"/>
  <c r="I176" i="17"/>
  <c r="N176" i="17" s="1"/>
  <c r="J176" i="17"/>
  <c r="O176" i="17" s="1"/>
  <c r="K176" i="17"/>
  <c r="I177" i="17"/>
  <c r="N177" i="17" s="1"/>
  <c r="J177" i="17"/>
  <c r="O177" i="17" s="1"/>
  <c r="K177" i="17"/>
  <c r="I178" i="17"/>
  <c r="N178" i="17" s="1"/>
  <c r="J178" i="17"/>
  <c r="O178" i="17" s="1"/>
  <c r="K178" i="17"/>
  <c r="I179" i="17"/>
  <c r="N179" i="17" s="1"/>
  <c r="J179" i="17"/>
  <c r="O179" i="17" s="1"/>
  <c r="K179" i="17"/>
  <c r="I180" i="17"/>
  <c r="N180" i="17" s="1"/>
  <c r="J180" i="17"/>
  <c r="O180" i="17" s="1"/>
  <c r="K180" i="17"/>
  <c r="I181" i="17"/>
  <c r="N181" i="17" s="1"/>
  <c r="J181" i="17"/>
  <c r="O181" i="17" s="1"/>
  <c r="K181" i="17"/>
  <c r="I182" i="17"/>
  <c r="N182" i="17" s="1"/>
  <c r="J182" i="17"/>
  <c r="O182" i="17" s="1"/>
  <c r="K182" i="17"/>
  <c r="I183" i="17"/>
  <c r="N183" i="17" s="1"/>
  <c r="J183" i="17"/>
  <c r="O183" i="17" s="1"/>
  <c r="K183" i="17"/>
  <c r="I184" i="17"/>
  <c r="N184" i="17" s="1"/>
  <c r="J184" i="17"/>
  <c r="O184" i="17" s="1"/>
  <c r="K184" i="17"/>
  <c r="I185" i="17"/>
  <c r="N185" i="17" s="1"/>
  <c r="J185" i="17"/>
  <c r="O185" i="17" s="1"/>
  <c r="K185" i="17"/>
  <c r="I186" i="17"/>
  <c r="N186" i="17" s="1"/>
  <c r="J186" i="17"/>
  <c r="O186" i="17" s="1"/>
  <c r="K186" i="17"/>
  <c r="I187" i="17"/>
  <c r="N187" i="17" s="1"/>
  <c r="J187" i="17"/>
  <c r="O187" i="17" s="1"/>
  <c r="K187" i="17"/>
  <c r="I188" i="17"/>
  <c r="N188" i="17" s="1"/>
  <c r="J188" i="17"/>
  <c r="O188" i="17" s="1"/>
  <c r="K188" i="17"/>
  <c r="I189" i="17"/>
  <c r="N189" i="17" s="1"/>
  <c r="J189" i="17"/>
  <c r="K189" i="17"/>
  <c r="I190" i="17"/>
  <c r="N190" i="17" s="1"/>
  <c r="J190" i="17"/>
  <c r="K190" i="17"/>
  <c r="I191" i="17"/>
  <c r="N191" i="17" s="1"/>
  <c r="J191" i="17"/>
  <c r="O191" i="17" s="1"/>
  <c r="K191" i="17"/>
  <c r="I192" i="17"/>
  <c r="N192" i="17" s="1"/>
  <c r="J192" i="17"/>
  <c r="O192" i="17" s="1"/>
  <c r="K192" i="17"/>
  <c r="I193" i="17"/>
  <c r="N193" i="17" s="1"/>
  <c r="J193" i="17"/>
  <c r="O193" i="17" s="1"/>
  <c r="K193" i="17"/>
  <c r="I194" i="17"/>
  <c r="N194" i="17" s="1"/>
  <c r="J194" i="17"/>
  <c r="O194" i="17" s="1"/>
  <c r="K194" i="17"/>
  <c r="I195" i="17"/>
  <c r="N195" i="17" s="1"/>
  <c r="J195" i="17"/>
  <c r="O195" i="17" s="1"/>
  <c r="K195" i="17"/>
  <c r="I196" i="17"/>
  <c r="N196" i="17" s="1"/>
  <c r="J196" i="17"/>
  <c r="O196" i="17" s="1"/>
  <c r="K196" i="17"/>
  <c r="I197" i="17"/>
  <c r="N197" i="17" s="1"/>
  <c r="J197" i="17"/>
  <c r="O197" i="17" s="1"/>
  <c r="K197" i="17"/>
  <c r="I198" i="17"/>
  <c r="N198" i="17" s="1"/>
  <c r="J198" i="17"/>
  <c r="O198" i="17" s="1"/>
  <c r="K198" i="17"/>
  <c r="I199" i="17"/>
  <c r="N199" i="17" s="1"/>
  <c r="J199" i="17"/>
  <c r="O199" i="17" s="1"/>
  <c r="K199" i="17"/>
  <c r="I200" i="17"/>
  <c r="N200" i="17" s="1"/>
  <c r="J200" i="17"/>
  <c r="O200" i="17" s="1"/>
  <c r="K200" i="17"/>
  <c r="I201" i="17"/>
  <c r="N201" i="17" s="1"/>
  <c r="J201" i="17"/>
  <c r="O201" i="17" s="1"/>
  <c r="K201" i="17"/>
  <c r="I202" i="17"/>
  <c r="N202" i="17" s="1"/>
  <c r="J202" i="17"/>
  <c r="O202" i="17" s="1"/>
  <c r="K202" i="17"/>
  <c r="I203" i="17"/>
  <c r="N203" i="17" s="1"/>
  <c r="J203" i="17"/>
  <c r="O203" i="17" s="1"/>
  <c r="K203" i="17"/>
  <c r="I204" i="17"/>
  <c r="N204" i="17" s="1"/>
  <c r="J204" i="17"/>
  <c r="O204" i="17" s="1"/>
  <c r="K204" i="17"/>
  <c r="I205" i="17"/>
  <c r="N205" i="17" s="1"/>
  <c r="J205" i="17"/>
  <c r="O205" i="17" s="1"/>
  <c r="K205" i="17"/>
  <c r="I206" i="17"/>
  <c r="N206" i="17" s="1"/>
  <c r="J206" i="17"/>
  <c r="O206" i="17" s="1"/>
  <c r="K206" i="17"/>
  <c r="I207" i="17"/>
  <c r="N207" i="17" s="1"/>
  <c r="J207" i="17"/>
  <c r="O207" i="17" s="1"/>
  <c r="K207" i="17"/>
  <c r="I208" i="17"/>
  <c r="J208" i="17"/>
  <c r="O208" i="17" s="1"/>
  <c r="K208" i="17"/>
  <c r="I209" i="17"/>
  <c r="N209" i="17" s="1"/>
  <c r="J209" i="17"/>
  <c r="O209" i="17" s="1"/>
  <c r="K209" i="17"/>
  <c r="I210" i="17"/>
  <c r="J210" i="17"/>
  <c r="O210" i="17" s="1"/>
  <c r="K210" i="17"/>
  <c r="I211" i="17"/>
  <c r="N211" i="17" s="1"/>
  <c r="J211" i="17"/>
  <c r="O211" i="17" s="1"/>
  <c r="K211" i="17"/>
  <c r="I212" i="17"/>
  <c r="N212" i="17" s="1"/>
  <c r="J212" i="17"/>
  <c r="O212" i="17" s="1"/>
  <c r="K212" i="17"/>
  <c r="I213" i="17"/>
  <c r="N213" i="17" s="1"/>
  <c r="J213" i="17"/>
  <c r="O213" i="17" s="1"/>
  <c r="K213" i="17"/>
  <c r="I214" i="17"/>
  <c r="N214" i="17" s="1"/>
  <c r="J214" i="17"/>
  <c r="O214" i="17" s="1"/>
  <c r="K214" i="17"/>
  <c r="I215" i="17"/>
  <c r="N215" i="17" s="1"/>
  <c r="J215" i="17"/>
  <c r="O215" i="17" s="1"/>
  <c r="K215" i="17"/>
  <c r="I216" i="17"/>
  <c r="N216" i="17" s="1"/>
  <c r="J216" i="17"/>
  <c r="O216" i="17" s="1"/>
  <c r="K216" i="17"/>
  <c r="I217" i="17"/>
  <c r="N217" i="17" s="1"/>
  <c r="J217" i="17"/>
  <c r="O217" i="17" s="1"/>
  <c r="K217" i="17"/>
  <c r="I218" i="17"/>
  <c r="N218" i="17" s="1"/>
  <c r="J218" i="17"/>
  <c r="O218" i="17" s="1"/>
  <c r="K218" i="17"/>
  <c r="I219" i="17"/>
  <c r="N219" i="17" s="1"/>
  <c r="J219" i="17"/>
  <c r="O219" i="17" s="1"/>
  <c r="K219" i="17"/>
  <c r="I220" i="17"/>
  <c r="N220" i="17" s="1"/>
  <c r="J220" i="17"/>
  <c r="O220" i="17" s="1"/>
  <c r="K220" i="17"/>
  <c r="I221" i="17"/>
  <c r="N221" i="17" s="1"/>
  <c r="J221" i="17"/>
  <c r="O221" i="17" s="1"/>
  <c r="K221" i="17"/>
  <c r="I222" i="17"/>
  <c r="N222" i="17" s="1"/>
  <c r="J222" i="17"/>
  <c r="O222" i="17" s="1"/>
  <c r="K222" i="17"/>
  <c r="I223" i="17"/>
  <c r="N223" i="17" s="1"/>
  <c r="J223" i="17"/>
  <c r="O223" i="17" s="1"/>
  <c r="K223" i="17"/>
  <c r="I224" i="17"/>
  <c r="N224" i="17" s="1"/>
  <c r="J224" i="17"/>
  <c r="O224" i="17" s="1"/>
  <c r="K224" i="17"/>
  <c r="I225" i="17"/>
  <c r="N225" i="17" s="1"/>
  <c r="J225" i="17"/>
  <c r="O225" i="17" s="1"/>
  <c r="K225" i="17"/>
  <c r="I226" i="17"/>
  <c r="N226" i="17" s="1"/>
  <c r="J226" i="17"/>
  <c r="O226" i="17" s="1"/>
  <c r="K226" i="17"/>
  <c r="I227" i="17"/>
  <c r="N227" i="17" s="1"/>
  <c r="J227" i="17"/>
  <c r="O227" i="17" s="1"/>
  <c r="K227" i="17"/>
  <c r="I228" i="17"/>
  <c r="N228" i="17" s="1"/>
  <c r="J228" i="17"/>
  <c r="O228" i="17" s="1"/>
  <c r="K228" i="17"/>
  <c r="I229" i="17"/>
  <c r="N229" i="17" s="1"/>
  <c r="J229" i="17"/>
  <c r="O229" i="17" s="1"/>
  <c r="K229" i="17"/>
  <c r="I230" i="17"/>
  <c r="N230" i="17" s="1"/>
  <c r="J230" i="17"/>
  <c r="O230" i="17" s="1"/>
  <c r="K230" i="17"/>
  <c r="I231" i="17"/>
  <c r="N231" i="17" s="1"/>
  <c r="J231" i="17"/>
  <c r="O231" i="17" s="1"/>
  <c r="K231" i="17"/>
  <c r="I232" i="17"/>
  <c r="N232" i="17" s="1"/>
  <c r="J232" i="17"/>
  <c r="O232" i="17" s="1"/>
  <c r="K232" i="17"/>
  <c r="I233" i="17"/>
  <c r="N233" i="17" s="1"/>
  <c r="J233" i="17"/>
  <c r="O233" i="17" s="1"/>
  <c r="K233" i="17"/>
  <c r="I234" i="17"/>
  <c r="N234" i="17" s="1"/>
  <c r="J234" i="17"/>
  <c r="O234" i="17" s="1"/>
  <c r="K234" i="17"/>
  <c r="I235" i="17"/>
  <c r="N235" i="17" s="1"/>
  <c r="J235" i="17"/>
  <c r="O235" i="17" s="1"/>
  <c r="K235" i="17"/>
  <c r="I236" i="17"/>
  <c r="N236" i="17" s="1"/>
  <c r="J236" i="17"/>
  <c r="O236" i="17" s="1"/>
  <c r="K236" i="17"/>
  <c r="I237" i="17"/>
  <c r="N237" i="17" s="1"/>
  <c r="J237" i="17"/>
  <c r="O237" i="17" s="1"/>
  <c r="K237" i="17"/>
  <c r="I238" i="17"/>
  <c r="N238" i="17" s="1"/>
  <c r="J238" i="17"/>
  <c r="O238" i="17" s="1"/>
  <c r="K238" i="17"/>
  <c r="I239" i="17"/>
  <c r="N239" i="17" s="1"/>
  <c r="J239" i="17"/>
  <c r="O239" i="17" s="1"/>
  <c r="K239" i="17"/>
  <c r="I240" i="17"/>
  <c r="N240" i="17" s="1"/>
  <c r="J240" i="17"/>
  <c r="O240" i="17" s="1"/>
  <c r="K240" i="17"/>
  <c r="I241" i="17"/>
  <c r="N241" i="17" s="1"/>
  <c r="J241" i="17"/>
  <c r="O241" i="17" s="1"/>
  <c r="K241" i="17"/>
  <c r="I242" i="17"/>
  <c r="N242" i="17" s="1"/>
  <c r="J242" i="17"/>
  <c r="O242" i="17" s="1"/>
  <c r="K242" i="17"/>
  <c r="I243" i="17"/>
  <c r="N243" i="17" s="1"/>
  <c r="J243" i="17"/>
  <c r="O243" i="17" s="1"/>
  <c r="K243" i="17"/>
  <c r="I244" i="17"/>
  <c r="N244" i="17" s="1"/>
  <c r="J244" i="17"/>
  <c r="O244" i="17" s="1"/>
  <c r="K244" i="17"/>
  <c r="I245" i="17"/>
  <c r="N245" i="17" s="1"/>
  <c r="J245" i="17"/>
  <c r="O245" i="17" s="1"/>
  <c r="K245" i="17"/>
  <c r="I246" i="17"/>
  <c r="N246" i="17" s="1"/>
  <c r="J246" i="17"/>
  <c r="O246" i="17" s="1"/>
  <c r="K246" i="17"/>
  <c r="I247" i="17"/>
  <c r="N247" i="17" s="1"/>
  <c r="J247" i="17"/>
  <c r="O247" i="17" s="1"/>
  <c r="K247" i="17"/>
  <c r="I248" i="17"/>
  <c r="N248" i="17" s="1"/>
  <c r="J248" i="17"/>
  <c r="O248" i="17" s="1"/>
  <c r="K248" i="17"/>
  <c r="I249" i="17"/>
  <c r="N249" i="17" s="1"/>
  <c r="J249" i="17"/>
  <c r="O249" i="17" s="1"/>
  <c r="K249" i="17"/>
  <c r="I250" i="17"/>
  <c r="N250" i="17" s="1"/>
  <c r="J250" i="17"/>
  <c r="O250" i="17" s="1"/>
  <c r="K250" i="17"/>
  <c r="I251" i="17"/>
  <c r="N251" i="17" s="1"/>
  <c r="J251" i="17"/>
  <c r="O251" i="17" s="1"/>
  <c r="K251" i="17"/>
  <c r="I252" i="17"/>
  <c r="N252" i="17" s="1"/>
  <c r="J252" i="17"/>
  <c r="O252" i="17" s="1"/>
  <c r="K252" i="17"/>
  <c r="I253" i="17"/>
  <c r="N253" i="17" s="1"/>
  <c r="J253" i="17"/>
  <c r="O253" i="17" s="1"/>
  <c r="K253" i="17"/>
  <c r="I254" i="17"/>
  <c r="N254" i="17" s="1"/>
  <c r="J254" i="17"/>
  <c r="O254" i="17" s="1"/>
  <c r="K254" i="17"/>
  <c r="I255" i="17"/>
  <c r="N255" i="17" s="1"/>
  <c r="J255" i="17"/>
  <c r="O255" i="17" s="1"/>
  <c r="K255" i="17"/>
  <c r="I256" i="17"/>
  <c r="N256" i="17" s="1"/>
  <c r="J256" i="17"/>
  <c r="O256" i="17" s="1"/>
  <c r="K256" i="17"/>
  <c r="I257" i="17"/>
  <c r="N257" i="17" s="1"/>
  <c r="J257" i="17"/>
  <c r="O257" i="17" s="1"/>
  <c r="K257" i="17"/>
  <c r="I258" i="17"/>
  <c r="N258" i="17" s="1"/>
  <c r="J258" i="17"/>
  <c r="O258" i="17" s="1"/>
  <c r="K258" i="17"/>
  <c r="I259" i="17"/>
  <c r="N259" i="17" s="1"/>
  <c r="J259" i="17"/>
  <c r="O259" i="17" s="1"/>
  <c r="K259" i="17"/>
  <c r="I260" i="17"/>
  <c r="N260" i="17" s="1"/>
  <c r="J260" i="17"/>
  <c r="O260" i="17" s="1"/>
  <c r="K260" i="17"/>
  <c r="I261" i="17"/>
  <c r="N261" i="17" s="1"/>
  <c r="J261" i="17"/>
  <c r="O261" i="17" s="1"/>
  <c r="K261" i="17"/>
  <c r="I262" i="17"/>
  <c r="N262" i="17" s="1"/>
  <c r="J262" i="17"/>
  <c r="O262" i="17" s="1"/>
  <c r="K262" i="17"/>
  <c r="I263" i="17"/>
  <c r="N263" i="17" s="1"/>
  <c r="J263" i="17"/>
  <c r="O263" i="17" s="1"/>
  <c r="K263" i="17"/>
  <c r="I264" i="17"/>
  <c r="N264" i="17" s="1"/>
  <c r="J264" i="17"/>
  <c r="O264" i="17" s="1"/>
  <c r="K264" i="17"/>
  <c r="I265" i="17"/>
  <c r="N265" i="17" s="1"/>
  <c r="J265" i="17"/>
  <c r="O265" i="17" s="1"/>
  <c r="K265" i="17"/>
  <c r="I266" i="17"/>
  <c r="N266" i="17" s="1"/>
  <c r="J266" i="17"/>
  <c r="O266" i="17" s="1"/>
  <c r="K266" i="17"/>
  <c r="I267" i="17"/>
  <c r="N267" i="17" s="1"/>
  <c r="J267" i="17"/>
  <c r="O267" i="17" s="1"/>
  <c r="K267" i="17"/>
  <c r="I268" i="17"/>
  <c r="N268" i="17" s="1"/>
  <c r="J268" i="17"/>
  <c r="O268" i="17" s="1"/>
  <c r="K268" i="17"/>
  <c r="I269" i="17"/>
  <c r="N269" i="17" s="1"/>
  <c r="J269" i="17"/>
  <c r="O269" i="17" s="1"/>
  <c r="K269" i="17"/>
  <c r="I270" i="17"/>
  <c r="J270" i="17"/>
  <c r="O270" i="17" s="1"/>
  <c r="K270" i="17"/>
  <c r="I271" i="17"/>
  <c r="J271" i="17"/>
  <c r="O271" i="17" s="1"/>
  <c r="K271" i="17"/>
  <c r="I272" i="17"/>
  <c r="N272" i="17" s="1"/>
  <c r="J272" i="17"/>
  <c r="O272" i="17" s="1"/>
  <c r="K272" i="17"/>
  <c r="I273" i="17"/>
  <c r="N273" i="17" s="1"/>
  <c r="J273" i="17"/>
  <c r="O273" i="17" s="1"/>
  <c r="K273" i="17"/>
  <c r="I274" i="17"/>
  <c r="N274" i="17" s="1"/>
  <c r="J274" i="17"/>
  <c r="O274" i="17" s="1"/>
  <c r="K274" i="17"/>
  <c r="I275" i="17"/>
  <c r="N275" i="17" s="1"/>
  <c r="J275" i="17"/>
  <c r="O275" i="17" s="1"/>
  <c r="K275" i="17"/>
  <c r="I276" i="17"/>
  <c r="N276" i="17" s="1"/>
  <c r="J276" i="17"/>
  <c r="O276" i="17" s="1"/>
  <c r="K276" i="17"/>
  <c r="I277" i="17"/>
  <c r="N277" i="17" s="1"/>
  <c r="J277" i="17"/>
  <c r="O277" i="17" s="1"/>
  <c r="K277" i="17"/>
  <c r="I278" i="17"/>
  <c r="N278" i="17" s="1"/>
  <c r="J278" i="17"/>
  <c r="O278" i="17" s="1"/>
  <c r="K278" i="17"/>
  <c r="I279" i="17"/>
  <c r="N279" i="17" s="1"/>
  <c r="J279" i="17"/>
  <c r="O279" i="17" s="1"/>
  <c r="K279" i="17"/>
  <c r="I280" i="17"/>
  <c r="N280" i="17" s="1"/>
  <c r="J280" i="17"/>
  <c r="O280" i="17" s="1"/>
  <c r="K280" i="17"/>
  <c r="I281" i="17"/>
  <c r="N281" i="17" s="1"/>
  <c r="J281" i="17"/>
  <c r="O281" i="17" s="1"/>
  <c r="K281" i="17"/>
  <c r="I282" i="17"/>
  <c r="N282" i="17" s="1"/>
  <c r="J282" i="17"/>
  <c r="O282" i="17" s="1"/>
  <c r="K282" i="17"/>
  <c r="I283" i="17"/>
  <c r="N283" i="17" s="1"/>
  <c r="J283" i="17"/>
  <c r="O283" i="17" s="1"/>
  <c r="K283" i="17"/>
  <c r="I284" i="17"/>
  <c r="N284" i="17" s="1"/>
  <c r="J284" i="17"/>
  <c r="O284" i="17" s="1"/>
  <c r="K284" i="17"/>
  <c r="I285" i="17"/>
  <c r="N285" i="17" s="1"/>
  <c r="J285" i="17"/>
  <c r="O285" i="17" s="1"/>
  <c r="K285" i="17"/>
  <c r="I286" i="17"/>
  <c r="N286" i="17" s="1"/>
  <c r="J286" i="17"/>
  <c r="O286" i="17" s="1"/>
  <c r="K286" i="17"/>
  <c r="I287" i="17"/>
  <c r="N287" i="17" s="1"/>
  <c r="J287" i="17"/>
  <c r="O287" i="17" s="1"/>
  <c r="K287" i="17"/>
  <c r="I288" i="17"/>
  <c r="N288" i="17" s="1"/>
  <c r="J288" i="17"/>
  <c r="O288" i="17" s="1"/>
  <c r="K288" i="17"/>
  <c r="I289" i="17"/>
  <c r="N289" i="17" s="1"/>
  <c r="J289" i="17"/>
  <c r="O289" i="17" s="1"/>
  <c r="K289" i="17"/>
  <c r="I290" i="17"/>
  <c r="N290" i="17" s="1"/>
  <c r="J290" i="17"/>
  <c r="O290" i="17" s="1"/>
  <c r="K290" i="17"/>
  <c r="I291" i="17"/>
  <c r="N291" i="17" s="1"/>
  <c r="J291" i="17"/>
  <c r="O291" i="17" s="1"/>
  <c r="K291" i="17"/>
  <c r="I292" i="17"/>
  <c r="N292" i="17" s="1"/>
  <c r="J292" i="17"/>
  <c r="O292" i="17" s="1"/>
  <c r="K292" i="17"/>
  <c r="I293" i="17"/>
  <c r="N293" i="17" s="1"/>
  <c r="J293" i="17"/>
  <c r="O293" i="17" s="1"/>
  <c r="K293" i="17"/>
  <c r="I294" i="17"/>
  <c r="N294" i="17" s="1"/>
  <c r="J294" i="17"/>
  <c r="O294" i="17" s="1"/>
  <c r="K294" i="17"/>
  <c r="I295" i="17"/>
  <c r="N295" i="17" s="1"/>
  <c r="J295" i="17"/>
  <c r="O295" i="17" s="1"/>
  <c r="K295" i="17"/>
  <c r="I296" i="17"/>
  <c r="N296" i="17" s="1"/>
  <c r="J296" i="17"/>
  <c r="O296" i="17" s="1"/>
  <c r="K296" i="17"/>
  <c r="I297" i="17"/>
  <c r="N297" i="17" s="1"/>
  <c r="J297" i="17"/>
  <c r="O297" i="17" s="1"/>
  <c r="K297" i="17"/>
  <c r="I298" i="17"/>
  <c r="N298" i="17" s="1"/>
  <c r="J298" i="17"/>
  <c r="O298" i="17" s="1"/>
  <c r="K298" i="17"/>
  <c r="I299" i="17"/>
  <c r="N299" i="17" s="1"/>
  <c r="J299" i="17"/>
  <c r="O299" i="17" s="1"/>
  <c r="K299" i="17"/>
  <c r="I300" i="17"/>
  <c r="N300" i="17" s="1"/>
  <c r="J300" i="17"/>
  <c r="O300" i="17" s="1"/>
  <c r="K300" i="17"/>
  <c r="I301" i="17"/>
  <c r="N301" i="17" s="1"/>
  <c r="J301" i="17"/>
  <c r="O301" i="17" s="1"/>
  <c r="K301" i="17"/>
  <c r="I302" i="17"/>
  <c r="N302" i="17" s="1"/>
  <c r="J302" i="17"/>
  <c r="O302" i="17" s="1"/>
  <c r="K302" i="17"/>
  <c r="I303" i="17"/>
  <c r="N303" i="17" s="1"/>
  <c r="J303" i="17"/>
  <c r="O303" i="17" s="1"/>
  <c r="K303" i="17"/>
  <c r="I304" i="17"/>
  <c r="N304" i="17" s="1"/>
  <c r="J304" i="17"/>
  <c r="O304" i="17" s="1"/>
  <c r="K304" i="17"/>
  <c r="I305" i="17"/>
  <c r="N305" i="17" s="1"/>
  <c r="J305" i="17"/>
  <c r="O305" i="17" s="1"/>
  <c r="K305" i="17"/>
  <c r="I306" i="17"/>
  <c r="N306" i="17" s="1"/>
  <c r="J306" i="17"/>
  <c r="O306" i="17" s="1"/>
  <c r="K306" i="17"/>
  <c r="I307" i="17"/>
  <c r="N307" i="17" s="1"/>
  <c r="J307" i="17"/>
  <c r="O307" i="17" s="1"/>
  <c r="K307" i="17"/>
  <c r="I308" i="17"/>
  <c r="N308" i="17" s="1"/>
  <c r="J308" i="17"/>
  <c r="O308" i="17" s="1"/>
  <c r="K308" i="17"/>
  <c r="I309" i="17"/>
  <c r="N309" i="17" s="1"/>
  <c r="J309" i="17"/>
  <c r="O309" i="17" s="1"/>
  <c r="K309" i="17"/>
  <c r="I310" i="17"/>
  <c r="N310" i="17" s="1"/>
  <c r="J310" i="17"/>
  <c r="O310" i="17" s="1"/>
  <c r="K310" i="17"/>
  <c r="I311" i="17"/>
  <c r="N311" i="17" s="1"/>
  <c r="J311" i="17"/>
  <c r="O311" i="17" s="1"/>
  <c r="K311" i="17"/>
  <c r="I312" i="17"/>
  <c r="N312" i="17" s="1"/>
  <c r="J312" i="17"/>
  <c r="O312" i="17" s="1"/>
  <c r="K312" i="17"/>
  <c r="I313" i="17"/>
  <c r="N313" i="17" s="1"/>
  <c r="J313" i="17"/>
  <c r="O313" i="17" s="1"/>
  <c r="K313" i="17"/>
  <c r="I314" i="17"/>
  <c r="N314" i="17" s="1"/>
  <c r="J314" i="17"/>
  <c r="O314" i="17" s="1"/>
  <c r="K314" i="17"/>
  <c r="I315" i="17"/>
  <c r="N315" i="17" s="1"/>
  <c r="J315" i="17"/>
  <c r="O315" i="17" s="1"/>
  <c r="K315" i="17"/>
  <c r="I316" i="17"/>
  <c r="N316" i="17" s="1"/>
  <c r="J316" i="17"/>
  <c r="O316" i="17" s="1"/>
  <c r="K316" i="17"/>
  <c r="I317" i="17"/>
  <c r="N317" i="17" s="1"/>
  <c r="J317" i="17"/>
  <c r="O317" i="17" s="1"/>
  <c r="K317" i="17"/>
  <c r="I318" i="17"/>
  <c r="N318" i="17" s="1"/>
  <c r="J318" i="17"/>
  <c r="O318" i="17" s="1"/>
  <c r="K318" i="17"/>
  <c r="I319" i="17"/>
  <c r="N319" i="17" s="1"/>
  <c r="J319" i="17"/>
  <c r="O319" i="17" s="1"/>
  <c r="K319" i="17"/>
  <c r="I320" i="17"/>
  <c r="N320" i="17" s="1"/>
  <c r="J320" i="17"/>
  <c r="O320" i="17" s="1"/>
  <c r="K320" i="17"/>
  <c r="I321" i="17"/>
  <c r="N321" i="17" s="1"/>
  <c r="J321" i="17"/>
  <c r="O321" i="17" s="1"/>
  <c r="K321" i="17"/>
  <c r="I322" i="17"/>
  <c r="N322" i="17" s="1"/>
  <c r="J322" i="17"/>
  <c r="O322" i="17" s="1"/>
  <c r="K322" i="17"/>
  <c r="I323" i="17"/>
  <c r="N323" i="17" s="1"/>
  <c r="J323" i="17"/>
  <c r="O323" i="17" s="1"/>
  <c r="K323" i="17"/>
  <c r="I324" i="17"/>
  <c r="J324" i="17"/>
  <c r="O324" i="17" s="1"/>
  <c r="K324" i="17"/>
  <c r="I325" i="17"/>
  <c r="J325" i="17"/>
  <c r="O325" i="17" s="1"/>
  <c r="K325" i="17"/>
  <c r="I326" i="17"/>
  <c r="N326" i="17" s="1"/>
  <c r="J326" i="17"/>
  <c r="O326" i="17" s="1"/>
  <c r="K326" i="17"/>
  <c r="I327" i="17"/>
  <c r="N327" i="17" s="1"/>
  <c r="J327" i="17"/>
  <c r="O327" i="17" s="1"/>
  <c r="K327" i="17"/>
  <c r="I328" i="17"/>
  <c r="N328" i="17" s="1"/>
  <c r="J328" i="17"/>
  <c r="O328" i="17" s="1"/>
  <c r="K328" i="17"/>
  <c r="I329" i="17"/>
  <c r="N329" i="17" s="1"/>
  <c r="J329" i="17"/>
  <c r="O329" i="17" s="1"/>
  <c r="K329" i="17"/>
  <c r="I330" i="17"/>
  <c r="N330" i="17" s="1"/>
  <c r="J330" i="17"/>
  <c r="O330" i="17" s="1"/>
  <c r="K330" i="17"/>
  <c r="I331" i="17"/>
  <c r="N331" i="17" s="1"/>
  <c r="J331" i="17"/>
  <c r="O331" i="17" s="1"/>
  <c r="K331" i="17"/>
  <c r="I332" i="17"/>
  <c r="N332" i="17" s="1"/>
  <c r="J332" i="17"/>
  <c r="O332" i="17" s="1"/>
  <c r="K332" i="17"/>
  <c r="I333" i="17"/>
  <c r="N333" i="17" s="1"/>
  <c r="J333" i="17"/>
  <c r="O333" i="17" s="1"/>
  <c r="K333" i="17"/>
  <c r="I334" i="17"/>
  <c r="N334" i="17" s="1"/>
  <c r="J334" i="17"/>
  <c r="O334" i="17" s="1"/>
  <c r="K334" i="17"/>
  <c r="I335" i="17"/>
  <c r="N335" i="17" s="1"/>
  <c r="J335" i="17"/>
  <c r="O335" i="17" s="1"/>
  <c r="K335" i="17"/>
  <c r="I336" i="17"/>
  <c r="N336" i="17" s="1"/>
  <c r="J336" i="17"/>
  <c r="O336" i="17" s="1"/>
  <c r="K336" i="17"/>
  <c r="I337" i="17"/>
  <c r="N337" i="17" s="1"/>
  <c r="J337" i="17"/>
  <c r="O337" i="17" s="1"/>
  <c r="K337" i="17"/>
  <c r="I338" i="17"/>
  <c r="N338" i="17" s="1"/>
  <c r="J338" i="17"/>
  <c r="O338" i="17" s="1"/>
  <c r="K338" i="17"/>
  <c r="I339" i="17"/>
  <c r="N339" i="17" s="1"/>
  <c r="J339" i="17"/>
  <c r="O339" i="17" s="1"/>
  <c r="K339" i="17"/>
  <c r="I340" i="17"/>
  <c r="N340" i="17" s="1"/>
  <c r="J340" i="17"/>
  <c r="O340" i="17" s="1"/>
  <c r="K340" i="17"/>
  <c r="I341" i="17"/>
  <c r="N341" i="17" s="1"/>
  <c r="J341" i="17"/>
  <c r="O341" i="17" s="1"/>
  <c r="K341" i="17"/>
  <c r="I342" i="17"/>
  <c r="N342" i="17" s="1"/>
  <c r="J342" i="17"/>
  <c r="O342" i="17" s="1"/>
  <c r="K342" i="17"/>
  <c r="I343" i="17"/>
  <c r="N343" i="17" s="1"/>
  <c r="J343" i="17"/>
  <c r="O343" i="17" s="1"/>
  <c r="K343" i="17"/>
  <c r="I344" i="17"/>
  <c r="N344" i="17" s="1"/>
  <c r="J344" i="17"/>
  <c r="O344" i="17" s="1"/>
  <c r="K344" i="17"/>
  <c r="I345" i="17"/>
  <c r="N345" i="17" s="1"/>
  <c r="J345" i="17"/>
  <c r="O345" i="17" s="1"/>
  <c r="K345" i="17"/>
  <c r="I346" i="17"/>
  <c r="N346" i="17" s="1"/>
  <c r="J346" i="17"/>
  <c r="O346" i="17" s="1"/>
  <c r="K346" i="17"/>
  <c r="I347" i="17"/>
  <c r="N347" i="17" s="1"/>
  <c r="J347" i="17"/>
  <c r="O347" i="17" s="1"/>
  <c r="K347" i="17"/>
  <c r="I348" i="17"/>
  <c r="N348" i="17" s="1"/>
  <c r="J348" i="17"/>
  <c r="O348" i="17" s="1"/>
  <c r="K348" i="17"/>
  <c r="I349" i="17"/>
  <c r="N349" i="17" s="1"/>
  <c r="J349" i="17"/>
  <c r="O349" i="17" s="1"/>
  <c r="K349" i="17"/>
  <c r="I350" i="17"/>
  <c r="N350" i="17" s="1"/>
  <c r="J350" i="17"/>
  <c r="O350" i="17" s="1"/>
  <c r="K350" i="17"/>
  <c r="I351" i="17"/>
  <c r="N351" i="17" s="1"/>
  <c r="J351" i="17"/>
  <c r="O351" i="17" s="1"/>
  <c r="K351" i="17"/>
  <c r="I352" i="17"/>
  <c r="N352" i="17" s="1"/>
  <c r="J352" i="17"/>
  <c r="O352" i="17" s="1"/>
  <c r="K352" i="17"/>
  <c r="I353" i="17"/>
  <c r="N353" i="17" s="1"/>
  <c r="J353" i="17"/>
  <c r="O353" i="17" s="1"/>
  <c r="K353" i="17"/>
  <c r="I354" i="17"/>
  <c r="N354" i="17" s="1"/>
  <c r="J354" i="17"/>
  <c r="O354" i="17" s="1"/>
  <c r="K354" i="17"/>
  <c r="I355" i="17"/>
  <c r="N355" i="17" s="1"/>
  <c r="J355" i="17"/>
  <c r="O355" i="17" s="1"/>
  <c r="K355" i="17"/>
  <c r="I356" i="17"/>
  <c r="N356" i="17" s="1"/>
  <c r="J356" i="17"/>
  <c r="O356" i="17" s="1"/>
  <c r="K356" i="17"/>
  <c r="I357" i="17"/>
  <c r="N357" i="17" s="1"/>
  <c r="J357" i="17"/>
  <c r="K357" i="17"/>
  <c r="I358" i="17"/>
  <c r="N358" i="17" s="1"/>
  <c r="J358" i="17"/>
  <c r="O358" i="17" s="1"/>
  <c r="K358" i="17"/>
  <c r="I359" i="17"/>
  <c r="N359" i="17" s="1"/>
  <c r="J359" i="17"/>
  <c r="O359" i="17" s="1"/>
  <c r="K359" i="17"/>
  <c r="I360" i="17"/>
  <c r="N360" i="17" s="1"/>
  <c r="J360" i="17"/>
  <c r="O360" i="17" s="1"/>
  <c r="K360" i="17"/>
  <c r="I361" i="17"/>
  <c r="J361" i="17"/>
  <c r="O361" i="17" s="1"/>
  <c r="K361" i="17"/>
  <c r="I362" i="17"/>
  <c r="J362" i="17"/>
  <c r="O362" i="17" s="1"/>
  <c r="K362" i="17"/>
  <c r="I363" i="17"/>
  <c r="N363" i="17" s="1"/>
  <c r="J363" i="17"/>
  <c r="O363" i="17" s="1"/>
  <c r="K363" i="17"/>
  <c r="I364" i="17"/>
  <c r="N364" i="17" s="1"/>
  <c r="J364" i="17"/>
  <c r="O364" i="17" s="1"/>
  <c r="K364" i="17"/>
  <c r="I365" i="17"/>
  <c r="N365" i="17" s="1"/>
  <c r="J365" i="17"/>
  <c r="O365" i="17" s="1"/>
  <c r="K365" i="17"/>
  <c r="I366" i="17"/>
  <c r="N366" i="17" s="1"/>
  <c r="J366" i="17"/>
  <c r="O366" i="17" s="1"/>
  <c r="K366" i="17"/>
  <c r="I367" i="17"/>
  <c r="N367" i="17" s="1"/>
  <c r="J367" i="17"/>
  <c r="O367" i="17" s="1"/>
  <c r="K367" i="17"/>
  <c r="I368" i="17"/>
  <c r="N368" i="17" s="1"/>
  <c r="J368" i="17"/>
  <c r="O368" i="17" s="1"/>
  <c r="K368" i="17"/>
  <c r="I369" i="17"/>
  <c r="N369" i="17" s="1"/>
  <c r="J369" i="17"/>
  <c r="O369" i="17" s="1"/>
  <c r="K369" i="17"/>
  <c r="I370" i="17"/>
  <c r="N370" i="17" s="1"/>
  <c r="J370" i="17"/>
  <c r="O370" i="17" s="1"/>
  <c r="K370" i="17"/>
  <c r="I371" i="17"/>
  <c r="N371" i="17" s="1"/>
  <c r="J371" i="17"/>
  <c r="O371" i="17" s="1"/>
  <c r="K371" i="17"/>
  <c r="I372" i="17"/>
  <c r="N372" i="17" s="1"/>
  <c r="J372" i="17"/>
  <c r="O372" i="17" s="1"/>
  <c r="K372" i="17"/>
  <c r="I373" i="17"/>
  <c r="N373" i="17" s="1"/>
  <c r="J373" i="17"/>
  <c r="O373" i="17" s="1"/>
  <c r="K373" i="17"/>
  <c r="I374" i="17"/>
  <c r="N374" i="17" s="1"/>
  <c r="J374" i="17"/>
  <c r="O374" i="17" s="1"/>
  <c r="K374" i="17"/>
  <c r="I375" i="17"/>
  <c r="N375" i="17" s="1"/>
  <c r="J375" i="17"/>
  <c r="O375" i="17" s="1"/>
  <c r="K375" i="17"/>
  <c r="I376" i="17"/>
  <c r="N376" i="17" s="1"/>
  <c r="J376" i="17"/>
  <c r="O376" i="17" s="1"/>
  <c r="K376" i="17"/>
  <c r="I377" i="17"/>
  <c r="N377" i="17" s="1"/>
  <c r="J377" i="17"/>
  <c r="O377" i="17" s="1"/>
  <c r="K377" i="17"/>
  <c r="I378" i="17"/>
  <c r="N378" i="17" s="1"/>
  <c r="J378" i="17"/>
  <c r="O378" i="17" s="1"/>
  <c r="K378" i="17"/>
  <c r="I379" i="17"/>
  <c r="N379" i="17" s="1"/>
  <c r="J379" i="17"/>
  <c r="O379" i="17" s="1"/>
  <c r="K379" i="17"/>
  <c r="I380" i="17"/>
  <c r="N380" i="17" s="1"/>
  <c r="J380" i="17"/>
  <c r="O380" i="17" s="1"/>
  <c r="K380" i="17"/>
  <c r="I381" i="17"/>
  <c r="N381" i="17" s="1"/>
  <c r="J381" i="17"/>
  <c r="O381" i="17" s="1"/>
  <c r="K381" i="17"/>
  <c r="I382" i="17"/>
  <c r="N382" i="17" s="1"/>
  <c r="J382" i="17"/>
  <c r="O382" i="17" s="1"/>
  <c r="K382" i="17"/>
  <c r="I383" i="17"/>
  <c r="N383" i="17" s="1"/>
  <c r="J383" i="17"/>
  <c r="O383" i="17" s="1"/>
  <c r="K383" i="17"/>
  <c r="I384" i="17"/>
  <c r="N384" i="17" s="1"/>
  <c r="J384" i="17"/>
  <c r="O384" i="17" s="1"/>
  <c r="K384" i="17"/>
  <c r="I385" i="17"/>
  <c r="N385" i="17" s="1"/>
  <c r="J385" i="17"/>
  <c r="O385" i="17" s="1"/>
  <c r="K385" i="17"/>
  <c r="I386" i="17"/>
  <c r="N386" i="17" s="1"/>
  <c r="J386" i="17"/>
  <c r="O386" i="17" s="1"/>
  <c r="K386" i="17"/>
  <c r="I387" i="17"/>
  <c r="N387" i="17" s="1"/>
  <c r="J387" i="17"/>
  <c r="O387" i="17" s="1"/>
  <c r="K387" i="17"/>
  <c r="I388" i="17"/>
  <c r="N388" i="17" s="1"/>
  <c r="J388" i="17"/>
  <c r="O388" i="17" s="1"/>
  <c r="K388" i="17"/>
  <c r="I389" i="17"/>
  <c r="N389" i="17" s="1"/>
  <c r="J389" i="17"/>
  <c r="O389" i="17" s="1"/>
  <c r="K389" i="17"/>
  <c r="I390" i="17"/>
  <c r="N390" i="17" s="1"/>
  <c r="J390" i="17"/>
  <c r="O390" i="17" s="1"/>
  <c r="K390" i="17"/>
  <c r="I391" i="17"/>
  <c r="N391" i="17" s="1"/>
  <c r="J391" i="17"/>
  <c r="O391" i="17" s="1"/>
  <c r="K391" i="17"/>
  <c r="I392" i="17"/>
  <c r="N392" i="17" s="1"/>
  <c r="J392" i="17"/>
  <c r="O392" i="17" s="1"/>
  <c r="K392" i="17"/>
  <c r="I393" i="17"/>
  <c r="N393" i="17" s="1"/>
  <c r="J393" i="17"/>
  <c r="O393" i="17" s="1"/>
  <c r="K393" i="17"/>
  <c r="I394" i="17"/>
  <c r="N394" i="17" s="1"/>
  <c r="J394" i="17"/>
  <c r="O394" i="17" s="1"/>
  <c r="K394" i="17"/>
  <c r="I395" i="17"/>
  <c r="N395" i="17" s="1"/>
  <c r="J395" i="17"/>
  <c r="O395" i="17" s="1"/>
  <c r="K395" i="17"/>
  <c r="I396" i="17"/>
  <c r="N396" i="17" s="1"/>
  <c r="J396" i="17"/>
  <c r="O396" i="17" s="1"/>
  <c r="K396" i="17"/>
  <c r="I397" i="17"/>
  <c r="J397" i="17"/>
  <c r="O397" i="17" s="1"/>
  <c r="K397" i="17"/>
  <c r="I398" i="17"/>
  <c r="J398" i="17"/>
  <c r="O398" i="17" s="1"/>
  <c r="K398" i="17"/>
  <c r="I399" i="17"/>
  <c r="N399" i="17" s="1"/>
  <c r="J399" i="17"/>
  <c r="O399" i="17" s="1"/>
  <c r="K399" i="17"/>
  <c r="I400" i="17"/>
  <c r="N400" i="17" s="1"/>
  <c r="J400" i="17"/>
  <c r="O400" i="17" s="1"/>
  <c r="K400" i="17"/>
  <c r="I401" i="17"/>
  <c r="N401" i="17" s="1"/>
  <c r="J401" i="17"/>
  <c r="O401" i="17" s="1"/>
  <c r="K401" i="17"/>
  <c r="I402" i="17"/>
  <c r="N402" i="17" s="1"/>
  <c r="J402" i="17"/>
  <c r="O402" i="17" s="1"/>
  <c r="K402" i="17"/>
  <c r="I403" i="17"/>
  <c r="N403" i="17" s="1"/>
  <c r="J403" i="17"/>
  <c r="O403" i="17" s="1"/>
  <c r="K403" i="17"/>
  <c r="I404" i="17"/>
  <c r="N404" i="17" s="1"/>
  <c r="J404" i="17"/>
  <c r="O404" i="17" s="1"/>
  <c r="K404" i="17"/>
  <c r="I405" i="17"/>
  <c r="N405" i="17" s="1"/>
  <c r="J405" i="17"/>
  <c r="O405" i="17" s="1"/>
  <c r="K405" i="17"/>
  <c r="I406" i="17"/>
  <c r="N406" i="17" s="1"/>
  <c r="J406" i="17"/>
  <c r="O406" i="17" s="1"/>
  <c r="K406" i="17"/>
  <c r="I407" i="17"/>
  <c r="N407" i="17" s="1"/>
  <c r="J407" i="17"/>
  <c r="O407" i="17" s="1"/>
  <c r="K407" i="17"/>
  <c r="I408" i="17"/>
  <c r="N408" i="17" s="1"/>
  <c r="J408" i="17"/>
  <c r="O408" i="17" s="1"/>
  <c r="K408" i="17"/>
  <c r="I409" i="17"/>
  <c r="N409" i="17" s="1"/>
  <c r="J409" i="17"/>
  <c r="O409" i="17" s="1"/>
  <c r="K409" i="17"/>
  <c r="I410" i="17"/>
  <c r="N410" i="17" s="1"/>
  <c r="J410" i="17"/>
  <c r="O410" i="17" s="1"/>
  <c r="K410" i="17"/>
  <c r="I411" i="17"/>
  <c r="N411" i="17" s="1"/>
  <c r="J411" i="17"/>
  <c r="O411" i="17" s="1"/>
  <c r="K411" i="17"/>
  <c r="I412" i="17"/>
  <c r="N412" i="17" s="1"/>
  <c r="J412" i="17"/>
  <c r="O412" i="17" s="1"/>
  <c r="K412" i="17"/>
  <c r="I413" i="17"/>
  <c r="N413" i="17" s="1"/>
  <c r="J413" i="17"/>
  <c r="O413" i="17" s="1"/>
  <c r="K413" i="17"/>
  <c r="I414" i="17"/>
  <c r="N414" i="17" s="1"/>
  <c r="J414" i="17"/>
  <c r="O414" i="17" s="1"/>
  <c r="K414" i="17"/>
  <c r="I415" i="17"/>
  <c r="N415" i="17" s="1"/>
  <c r="J415" i="17"/>
  <c r="O415" i="17" s="1"/>
  <c r="K415" i="17"/>
  <c r="I416" i="17"/>
  <c r="N416" i="17" s="1"/>
  <c r="J416" i="17"/>
  <c r="O416" i="17" s="1"/>
  <c r="K416" i="17"/>
  <c r="I417" i="17"/>
  <c r="N417" i="17" s="1"/>
  <c r="J417" i="17"/>
  <c r="O417" i="17" s="1"/>
  <c r="K417" i="17"/>
  <c r="I418" i="17"/>
  <c r="N418" i="17" s="1"/>
  <c r="J418" i="17"/>
  <c r="O418" i="17" s="1"/>
  <c r="K418" i="17"/>
  <c r="I419" i="17"/>
  <c r="N419" i="17" s="1"/>
  <c r="J419" i="17"/>
  <c r="O419" i="17" s="1"/>
  <c r="K419" i="17"/>
  <c r="I420" i="17"/>
  <c r="N420" i="17" s="1"/>
  <c r="J420" i="17"/>
  <c r="O420" i="17" s="1"/>
  <c r="K420" i="17"/>
  <c r="I421" i="17"/>
  <c r="N421" i="17" s="1"/>
  <c r="J421" i="17"/>
  <c r="O421" i="17" s="1"/>
  <c r="K421" i="17"/>
  <c r="I422" i="17"/>
  <c r="N422" i="17" s="1"/>
  <c r="J422" i="17"/>
  <c r="O422" i="17" s="1"/>
  <c r="K422" i="17"/>
  <c r="I423" i="17"/>
  <c r="N423" i="17" s="1"/>
  <c r="J423" i="17"/>
  <c r="O423" i="17" s="1"/>
  <c r="K423" i="17"/>
  <c r="I424" i="17"/>
  <c r="N424" i="17" s="1"/>
  <c r="J424" i="17"/>
  <c r="O424" i="17" s="1"/>
  <c r="K424" i="17"/>
  <c r="I425" i="17"/>
  <c r="N425" i="17" s="1"/>
  <c r="J425" i="17"/>
  <c r="O425" i="17" s="1"/>
  <c r="K425" i="17"/>
  <c r="I426" i="17"/>
  <c r="N426" i="17" s="1"/>
  <c r="J426" i="17"/>
  <c r="O426" i="17" s="1"/>
  <c r="K426" i="17"/>
  <c r="I427" i="17"/>
  <c r="N427" i="17" s="1"/>
  <c r="J427" i="17"/>
  <c r="O427" i="17" s="1"/>
  <c r="K427" i="17"/>
  <c r="I428" i="17"/>
  <c r="N428" i="17" s="1"/>
  <c r="J428" i="17"/>
  <c r="O428" i="17" s="1"/>
  <c r="K428" i="17"/>
  <c r="I429" i="17"/>
  <c r="N429" i="17" s="1"/>
  <c r="J429" i="17"/>
  <c r="O429" i="17" s="1"/>
  <c r="K429" i="17"/>
  <c r="I430" i="17"/>
  <c r="N430" i="17" s="1"/>
  <c r="J430" i="17"/>
  <c r="O430" i="17" s="1"/>
  <c r="K430" i="17"/>
  <c r="I431" i="17"/>
  <c r="N431" i="17" s="1"/>
  <c r="J431" i="17"/>
  <c r="O431" i="17" s="1"/>
  <c r="K431" i="17"/>
  <c r="I432" i="17"/>
  <c r="N432" i="17" s="1"/>
  <c r="J432" i="17"/>
  <c r="O432" i="17" s="1"/>
  <c r="K432" i="17"/>
  <c r="I433" i="17"/>
  <c r="J433" i="17"/>
  <c r="O433" i="17" s="1"/>
  <c r="K433" i="17"/>
  <c r="I434" i="17"/>
  <c r="J434" i="17"/>
  <c r="O434" i="17" s="1"/>
  <c r="K434" i="17"/>
  <c r="I435" i="17"/>
  <c r="N435" i="17" s="1"/>
  <c r="J435" i="17"/>
  <c r="O435" i="17" s="1"/>
  <c r="K435" i="17"/>
  <c r="I436" i="17"/>
  <c r="N436" i="17" s="1"/>
  <c r="J436" i="17"/>
  <c r="O436" i="17" s="1"/>
  <c r="K436" i="17"/>
  <c r="I437" i="17"/>
  <c r="N437" i="17" s="1"/>
  <c r="J437" i="17"/>
  <c r="O437" i="17" s="1"/>
  <c r="K437" i="17"/>
  <c r="I438" i="17"/>
  <c r="N438" i="17" s="1"/>
  <c r="J438" i="17"/>
  <c r="O438" i="17" s="1"/>
  <c r="K438" i="17"/>
  <c r="I439" i="17"/>
  <c r="N439" i="17" s="1"/>
  <c r="J439" i="17"/>
  <c r="O439" i="17" s="1"/>
  <c r="K439" i="17"/>
  <c r="I440" i="17"/>
  <c r="N440" i="17" s="1"/>
  <c r="J440" i="17"/>
  <c r="O440" i="17" s="1"/>
  <c r="K440" i="17"/>
  <c r="I441" i="17"/>
  <c r="N441" i="17" s="1"/>
  <c r="J441" i="17"/>
  <c r="O441" i="17" s="1"/>
  <c r="K441" i="17"/>
  <c r="I442" i="17"/>
  <c r="N442" i="17" s="1"/>
  <c r="J442" i="17"/>
  <c r="O442" i="17" s="1"/>
  <c r="K442" i="17"/>
  <c r="I443" i="17"/>
  <c r="N443" i="17" s="1"/>
  <c r="J443" i="17"/>
  <c r="O443" i="17" s="1"/>
  <c r="K443" i="17"/>
  <c r="I444" i="17"/>
  <c r="N444" i="17" s="1"/>
  <c r="J444" i="17"/>
  <c r="O444" i="17" s="1"/>
  <c r="K444" i="17"/>
  <c r="I445" i="17"/>
  <c r="N445" i="17" s="1"/>
  <c r="J445" i="17"/>
  <c r="O445" i="17" s="1"/>
  <c r="K445" i="17"/>
  <c r="I446" i="17"/>
  <c r="N446" i="17" s="1"/>
  <c r="J446" i="17"/>
  <c r="O446" i="17" s="1"/>
  <c r="K446" i="17"/>
  <c r="I447" i="17"/>
  <c r="N447" i="17" s="1"/>
  <c r="J447" i="17"/>
  <c r="O447" i="17" s="1"/>
  <c r="K447" i="17"/>
  <c r="I448" i="17"/>
  <c r="N448" i="17" s="1"/>
  <c r="J448" i="17"/>
  <c r="O448" i="17" s="1"/>
  <c r="K448" i="17"/>
  <c r="I449" i="17"/>
  <c r="N449" i="17" s="1"/>
  <c r="J449" i="17"/>
  <c r="O449" i="17" s="1"/>
  <c r="K449" i="17"/>
  <c r="I450" i="17"/>
  <c r="N450" i="17" s="1"/>
  <c r="J450" i="17"/>
  <c r="O450" i="17" s="1"/>
  <c r="K450" i="17"/>
  <c r="I451" i="17"/>
  <c r="N451" i="17" s="1"/>
  <c r="J451" i="17"/>
  <c r="O451" i="17" s="1"/>
  <c r="K451" i="17"/>
  <c r="I452" i="17"/>
  <c r="N452" i="17" s="1"/>
  <c r="J452" i="17"/>
  <c r="O452" i="17" s="1"/>
  <c r="K452" i="17"/>
  <c r="I453" i="17"/>
  <c r="N453" i="17" s="1"/>
  <c r="J453" i="17"/>
  <c r="O453" i="17" s="1"/>
  <c r="K453" i="17"/>
  <c r="I454" i="17"/>
  <c r="N454" i="17" s="1"/>
  <c r="J454" i="17"/>
  <c r="O454" i="17" s="1"/>
  <c r="K454" i="17"/>
  <c r="I455" i="17"/>
  <c r="N455" i="17" s="1"/>
  <c r="J455" i="17"/>
  <c r="O455" i="17" s="1"/>
  <c r="K455" i="17"/>
  <c r="I456" i="17"/>
  <c r="N456" i="17" s="1"/>
  <c r="J456" i="17"/>
  <c r="O456" i="17" s="1"/>
  <c r="K456" i="17"/>
  <c r="I457" i="17"/>
  <c r="N457" i="17" s="1"/>
  <c r="J457" i="17"/>
  <c r="O457" i="17" s="1"/>
  <c r="K457" i="17"/>
  <c r="I458" i="17"/>
  <c r="N458" i="17" s="1"/>
  <c r="J458" i="17"/>
  <c r="O458" i="17" s="1"/>
  <c r="K458" i="17"/>
  <c r="I459" i="17"/>
  <c r="N459" i="17" s="1"/>
  <c r="J459" i="17"/>
  <c r="O459" i="17" s="1"/>
  <c r="K459" i="17"/>
  <c r="I460" i="17"/>
  <c r="N460" i="17" s="1"/>
  <c r="J460" i="17"/>
  <c r="O460" i="17" s="1"/>
  <c r="K460" i="17"/>
  <c r="I461" i="17"/>
  <c r="N461" i="17" s="1"/>
  <c r="J461" i="17"/>
  <c r="O461" i="17" s="1"/>
  <c r="K461" i="17"/>
  <c r="I462" i="17"/>
  <c r="N462" i="17" s="1"/>
  <c r="J462" i="17"/>
  <c r="O462" i="17" s="1"/>
  <c r="K462" i="17"/>
  <c r="I463" i="17"/>
  <c r="N463" i="17" s="1"/>
  <c r="J463" i="17"/>
  <c r="O463" i="17" s="1"/>
  <c r="K463" i="17"/>
  <c r="I464" i="17"/>
  <c r="N464" i="17" s="1"/>
  <c r="J464" i="17"/>
  <c r="O464" i="17" s="1"/>
  <c r="K464" i="17"/>
  <c r="I465" i="17"/>
  <c r="N465" i="17" s="1"/>
  <c r="J465" i="17"/>
  <c r="O465" i="17" s="1"/>
  <c r="K465" i="17"/>
  <c r="I466" i="17"/>
  <c r="N466" i="17" s="1"/>
  <c r="J466" i="17"/>
  <c r="O466" i="17" s="1"/>
  <c r="K466" i="17"/>
  <c r="I467" i="17"/>
  <c r="N467" i="17" s="1"/>
  <c r="J467" i="17"/>
  <c r="O467" i="17" s="1"/>
  <c r="K467" i="17"/>
  <c r="I468" i="17"/>
  <c r="N468" i="17" s="1"/>
  <c r="J468" i="17"/>
  <c r="O468" i="17" s="1"/>
  <c r="K468" i="17"/>
  <c r="I469" i="17"/>
  <c r="J469" i="17"/>
  <c r="O469" i="17" s="1"/>
  <c r="K469" i="17"/>
  <c r="I470" i="17"/>
  <c r="J470" i="17"/>
  <c r="O470" i="17" s="1"/>
  <c r="K470" i="17"/>
  <c r="I471" i="17"/>
  <c r="N471" i="17" s="1"/>
  <c r="J471" i="17"/>
  <c r="O471" i="17" s="1"/>
  <c r="K471" i="17"/>
  <c r="I472" i="17"/>
  <c r="N472" i="17" s="1"/>
  <c r="J472" i="17"/>
  <c r="O472" i="17" s="1"/>
  <c r="K472" i="17"/>
  <c r="I473" i="17"/>
  <c r="N473" i="17" s="1"/>
  <c r="J473" i="17"/>
  <c r="O473" i="17" s="1"/>
  <c r="K473" i="17"/>
  <c r="I474" i="17"/>
  <c r="N474" i="17" s="1"/>
  <c r="J474" i="17"/>
  <c r="O474" i="17" s="1"/>
  <c r="K474" i="17"/>
  <c r="I475" i="17"/>
  <c r="N475" i="17" s="1"/>
  <c r="J475" i="17"/>
  <c r="O475" i="17" s="1"/>
  <c r="K475" i="17"/>
  <c r="I476" i="17"/>
  <c r="N476" i="17" s="1"/>
  <c r="J476" i="17"/>
  <c r="O476" i="17" s="1"/>
  <c r="K476" i="17"/>
  <c r="I477" i="17"/>
  <c r="N477" i="17" s="1"/>
  <c r="J477" i="17"/>
  <c r="O477" i="17" s="1"/>
  <c r="K477" i="17"/>
  <c r="I478" i="17"/>
  <c r="N478" i="17" s="1"/>
  <c r="J478" i="17"/>
  <c r="O478" i="17" s="1"/>
  <c r="K478" i="17"/>
  <c r="I479" i="17"/>
  <c r="N479" i="17" s="1"/>
  <c r="J479" i="17"/>
  <c r="O479" i="17" s="1"/>
  <c r="K479" i="17"/>
  <c r="I480" i="17"/>
  <c r="N480" i="17" s="1"/>
  <c r="J480" i="17"/>
  <c r="O480" i="17" s="1"/>
  <c r="K480" i="17"/>
  <c r="I481" i="17"/>
  <c r="N481" i="17" s="1"/>
  <c r="J481" i="17"/>
  <c r="O481" i="17" s="1"/>
  <c r="K481" i="17"/>
  <c r="I482" i="17"/>
  <c r="N482" i="17" s="1"/>
  <c r="J482" i="17"/>
  <c r="O482" i="17" s="1"/>
  <c r="K482" i="17"/>
  <c r="I483" i="17"/>
  <c r="N483" i="17" s="1"/>
  <c r="J483" i="17"/>
  <c r="O483" i="17" s="1"/>
  <c r="K483" i="17"/>
  <c r="I484" i="17"/>
  <c r="N484" i="17" s="1"/>
  <c r="J484" i="17"/>
  <c r="O484" i="17" s="1"/>
  <c r="K484" i="17"/>
  <c r="I485" i="17"/>
  <c r="N485" i="17" s="1"/>
  <c r="J485" i="17"/>
  <c r="O485" i="17" s="1"/>
  <c r="K485" i="17"/>
  <c r="I486" i="17"/>
  <c r="N486" i="17" s="1"/>
  <c r="J486" i="17"/>
  <c r="O486" i="17" s="1"/>
  <c r="K486" i="17"/>
  <c r="I487" i="17"/>
  <c r="N487" i="17" s="1"/>
  <c r="J487" i="17"/>
  <c r="O487" i="17" s="1"/>
  <c r="K487" i="17"/>
  <c r="I488" i="17"/>
  <c r="N488" i="17" s="1"/>
  <c r="J488" i="17"/>
  <c r="O488" i="17" s="1"/>
  <c r="K488" i="17"/>
  <c r="I489" i="17"/>
  <c r="N489" i="17" s="1"/>
  <c r="J489" i="17"/>
  <c r="O489" i="17" s="1"/>
  <c r="K489" i="17"/>
  <c r="I490" i="17"/>
  <c r="N490" i="17" s="1"/>
  <c r="J490" i="17"/>
  <c r="O490" i="17" s="1"/>
  <c r="K490" i="17"/>
  <c r="I491" i="17"/>
  <c r="N491" i="17" s="1"/>
  <c r="J491" i="17"/>
  <c r="O491" i="17" s="1"/>
  <c r="K491" i="17"/>
  <c r="I492" i="17"/>
  <c r="N492" i="17" s="1"/>
  <c r="J492" i="17"/>
  <c r="O492" i="17" s="1"/>
  <c r="K492" i="17"/>
  <c r="I493" i="17"/>
  <c r="N493" i="17" s="1"/>
  <c r="J493" i="17"/>
  <c r="O493" i="17" s="1"/>
  <c r="K493" i="17"/>
  <c r="I494" i="17"/>
  <c r="N494" i="17" s="1"/>
  <c r="J494" i="17"/>
  <c r="O494" i="17" s="1"/>
  <c r="K494" i="17"/>
  <c r="I495" i="17"/>
  <c r="N495" i="17" s="1"/>
  <c r="J495" i="17"/>
  <c r="O495" i="17" s="1"/>
  <c r="K495" i="17"/>
  <c r="I496" i="17"/>
  <c r="N496" i="17" s="1"/>
  <c r="J496" i="17"/>
  <c r="O496" i="17" s="1"/>
  <c r="K496" i="17"/>
  <c r="I497" i="17"/>
  <c r="N497" i="17" s="1"/>
  <c r="J497" i="17"/>
  <c r="O497" i="17" s="1"/>
  <c r="K497" i="17"/>
  <c r="I498" i="17"/>
  <c r="N498" i="17" s="1"/>
  <c r="J498" i="17"/>
  <c r="O498" i="17" s="1"/>
  <c r="K498" i="17"/>
  <c r="I499" i="17"/>
  <c r="N499" i="17" s="1"/>
  <c r="J499" i="17"/>
  <c r="O499" i="17" s="1"/>
  <c r="K499" i="17"/>
  <c r="I500" i="17"/>
  <c r="N500" i="17" s="1"/>
  <c r="J500" i="17"/>
  <c r="O500" i="17" s="1"/>
  <c r="K500" i="17"/>
  <c r="I501" i="17"/>
  <c r="N501" i="17" s="1"/>
  <c r="J501" i="17"/>
  <c r="O501" i="17" s="1"/>
  <c r="K501" i="17"/>
  <c r="I502" i="17"/>
  <c r="N502" i="17" s="1"/>
  <c r="J502" i="17"/>
  <c r="O502" i="17" s="1"/>
  <c r="K502" i="17"/>
  <c r="I503" i="17"/>
  <c r="N503" i="17" s="1"/>
  <c r="J503" i="17"/>
  <c r="O503" i="17" s="1"/>
  <c r="K503" i="17"/>
  <c r="I504" i="17"/>
  <c r="N504" i="17" s="1"/>
  <c r="J504" i="17"/>
  <c r="O504" i="17" s="1"/>
  <c r="K504" i="17"/>
  <c r="I505" i="17"/>
  <c r="J505" i="17"/>
  <c r="O505" i="17" s="1"/>
  <c r="K505" i="17"/>
  <c r="I506" i="17"/>
  <c r="J506" i="17"/>
  <c r="O506" i="17" s="1"/>
  <c r="K506" i="17"/>
  <c r="I507" i="17"/>
  <c r="N507" i="17" s="1"/>
  <c r="J507" i="17"/>
  <c r="O507" i="17" s="1"/>
  <c r="K507" i="17"/>
  <c r="I508" i="17"/>
  <c r="N508" i="17" s="1"/>
  <c r="J508" i="17"/>
  <c r="O508" i="17" s="1"/>
  <c r="K508" i="17"/>
  <c r="I509" i="17"/>
  <c r="N509" i="17" s="1"/>
  <c r="J509" i="17"/>
  <c r="O509" i="17" s="1"/>
  <c r="K509" i="17"/>
  <c r="I510" i="17"/>
  <c r="N510" i="17" s="1"/>
  <c r="J510" i="17"/>
  <c r="O510" i="17" s="1"/>
  <c r="K510" i="17"/>
  <c r="I511" i="17"/>
  <c r="N511" i="17" s="1"/>
  <c r="J511" i="17"/>
  <c r="O511" i="17" s="1"/>
  <c r="K511" i="17"/>
  <c r="I512" i="17"/>
  <c r="N512" i="17" s="1"/>
  <c r="J512" i="17"/>
  <c r="O512" i="17" s="1"/>
  <c r="K512" i="17"/>
  <c r="I513" i="17"/>
  <c r="N513" i="17" s="1"/>
  <c r="J513" i="17"/>
  <c r="O513" i="17" s="1"/>
  <c r="K513" i="17"/>
  <c r="I514" i="17"/>
  <c r="N514" i="17" s="1"/>
  <c r="J514" i="17"/>
  <c r="O514" i="17" s="1"/>
  <c r="K514" i="17"/>
  <c r="I515" i="17"/>
  <c r="N515" i="17" s="1"/>
  <c r="J515" i="17"/>
  <c r="O515" i="17" s="1"/>
  <c r="K515" i="17"/>
  <c r="I516" i="17"/>
  <c r="N516" i="17" s="1"/>
  <c r="J516" i="17"/>
  <c r="O516" i="17" s="1"/>
  <c r="K516" i="17"/>
  <c r="I517" i="17"/>
  <c r="N517" i="17" s="1"/>
  <c r="J517" i="17"/>
  <c r="O517" i="17" s="1"/>
  <c r="K517" i="17"/>
  <c r="I518" i="17"/>
  <c r="N518" i="17" s="1"/>
  <c r="J518" i="17"/>
  <c r="K518" i="17"/>
  <c r="I519" i="17"/>
  <c r="N519" i="17" s="1"/>
  <c r="J519" i="17"/>
  <c r="O519" i="17" s="1"/>
  <c r="K519" i="17"/>
  <c r="I520" i="17"/>
  <c r="N520" i="17" s="1"/>
  <c r="J520" i="17"/>
  <c r="K520" i="17"/>
  <c r="I521" i="17"/>
  <c r="N521" i="17" s="1"/>
  <c r="J521" i="17"/>
  <c r="O521" i="17" s="1"/>
  <c r="K521" i="17"/>
  <c r="I522" i="17"/>
  <c r="N522" i="17" s="1"/>
  <c r="J522" i="17"/>
  <c r="O522" i="17" s="1"/>
  <c r="K522" i="17"/>
  <c r="I523" i="17"/>
  <c r="N523" i="17" s="1"/>
  <c r="J523" i="17"/>
  <c r="O523" i="17" s="1"/>
  <c r="K523" i="17"/>
  <c r="I524" i="17"/>
  <c r="N524" i="17" s="1"/>
  <c r="J524" i="17"/>
  <c r="O524" i="17" s="1"/>
  <c r="K524" i="17"/>
  <c r="I525" i="17"/>
  <c r="N525" i="17" s="1"/>
  <c r="J525" i="17"/>
  <c r="O525" i="17" s="1"/>
  <c r="K525" i="17"/>
  <c r="I526" i="17"/>
  <c r="N526" i="17" s="1"/>
  <c r="J526" i="17"/>
  <c r="O526" i="17" s="1"/>
  <c r="K526" i="17"/>
  <c r="I527" i="17"/>
  <c r="N527" i="17" s="1"/>
  <c r="J527" i="17"/>
  <c r="O527" i="17" s="1"/>
  <c r="K527" i="17"/>
  <c r="I528" i="17"/>
  <c r="N528" i="17" s="1"/>
  <c r="J528" i="17"/>
  <c r="O528" i="17" s="1"/>
  <c r="K528" i="17"/>
  <c r="I529" i="17"/>
  <c r="N529" i="17" s="1"/>
  <c r="J529" i="17"/>
  <c r="O529" i="17" s="1"/>
  <c r="K529" i="17"/>
  <c r="I530" i="17"/>
  <c r="N530" i="17" s="1"/>
  <c r="J530" i="17"/>
  <c r="O530" i="17" s="1"/>
  <c r="K530" i="17"/>
  <c r="I531" i="17"/>
  <c r="N531" i="17" s="1"/>
  <c r="J531" i="17"/>
  <c r="O531" i="17" s="1"/>
  <c r="K531" i="17"/>
  <c r="I532" i="17"/>
  <c r="N532" i="17" s="1"/>
  <c r="J532" i="17"/>
  <c r="O532" i="17" s="1"/>
  <c r="K532" i="17"/>
  <c r="I533" i="17"/>
  <c r="N533" i="17" s="1"/>
  <c r="J533" i="17"/>
  <c r="O533" i="17" s="1"/>
  <c r="K533" i="17"/>
  <c r="I534" i="17"/>
  <c r="N534" i="17" s="1"/>
  <c r="J534" i="17"/>
  <c r="O534" i="17" s="1"/>
  <c r="K534" i="17"/>
  <c r="I535" i="17"/>
  <c r="N535" i="17" s="1"/>
  <c r="J535" i="17"/>
  <c r="O535" i="17" s="1"/>
  <c r="K535" i="17"/>
  <c r="I536" i="17"/>
  <c r="N536" i="17" s="1"/>
  <c r="J536" i="17"/>
  <c r="O536" i="17" s="1"/>
  <c r="K536" i="17"/>
  <c r="I537" i="17"/>
  <c r="N537" i="17" s="1"/>
  <c r="J537" i="17"/>
  <c r="O537" i="17" s="1"/>
  <c r="K537" i="17"/>
  <c r="I538" i="17"/>
  <c r="N538" i="17" s="1"/>
  <c r="J538" i="17"/>
  <c r="O538" i="17" s="1"/>
  <c r="K538" i="17"/>
  <c r="I539" i="17"/>
  <c r="N539" i="17" s="1"/>
  <c r="J539" i="17"/>
  <c r="O539" i="17" s="1"/>
  <c r="K539" i="17"/>
  <c r="I540" i="17"/>
  <c r="N540" i="17" s="1"/>
  <c r="J540" i="17"/>
  <c r="O540" i="17" s="1"/>
  <c r="K540" i="17"/>
  <c r="I541" i="17"/>
  <c r="J541" i="17"/>
  <c r="O541" i="17" s="1"/>
  <c r="K541" i="17"/>
  <c r="I542" i="17"/>
  <c r="J542" i="17"/>
  <c r="O542" i="17" s="1"/>
  <c r="K542" i="17"/>
  <c r="I543" i="17"/>
  <c r="N543" i="17" s="1"/>
  <c r="J543" i="17"/>
  <c r="O543" i="17" s="1"/>
  <c r="K543" i="17"/>
  <c r="I544" i="17"/>
  <c r="N544" i="17" s="1"/>
  <c r="J544" i="17"/>
  <c r="O544" i="17" s="1"/>
  <c r="K544" i="17"/>
  <c r="I545" i="17"/>
  <c r="N545" i="17" s="1"/>
  <c r="J545" i="17"/>
  <c r="O545" i="17" s="1"/>
  <c r="K545" i="17"/>
  <c r="I546" i="17"/>
  <c r="N546" i="17" s="1"/>
  <c r="J546" i="17"/>
  <c r="O546" i="17" s="1"/>
  <c r="K546" i="17"/>
  <c r="I547" i="17"/>
  <c r="N547" i="17" s="1"/>
  <c r="J547" i="17"/>
  <c r="O547" i="17" s="1"/>
  <c r="K547" i="17"/>
  <c r="I548" i="17"/>
  <c r="N548" i="17" s="1"/>
  <c r="J548" i="17"/>
  <c r="O548" i="17" s="1"/>
  <c r="K548" i="17"/>
  <c r="I549" i="17"/>
  <c r="N549" i="17" s="1"/>
  <c r="J549" i="17"/>
  <c r="O549" i="17" s="1"/>
  <c r="K549" i="17"/>
  <c r="I550" i="17"/>
  <c r="N550" i="17" s="1"/>
  <c r="J550" i="17"/>
  <c r="O550" i="17" s="1"/>
  <c r="K550" i="17"/>
  <c r="I551" i="17"/>
  <c r="N551" i="17" s="1"/>
  <c r="J551" i="17"/>
  <c r="O551" i="17" s="1"/>
  <c r="K551" i="17"/>
  <c r="I552" i="17"/>
  <c r="N552" i="17" s="1"/>
  <c r="J552" i="17"/>
  <c r="O552" i="17" s="1"/>
  <c r="K552" i="17"/>
  <c r="I553" i="17"/>
  <c r="N553" i="17" s="1"/>
  <c r="J553" i="17"/>
  <c r="O553" i="17" s="1"/>
  <c r="K553" i="17"/>
  <c r="I554" i="17"/>
  <c r="N554" i="17" s="1"/>
  <c r="J554" i="17"/>
  <c r="O554" i="17" s="1"/>
  <c r="K554" i="17"/>
  <c r="I555" i="17"/>
  <c r="N555" i="17" s="1"/>
  <c r="J555" i="17"/>
  <c r="O555" i="17" s="1"/>
  <c r="K555" i="17"/>
  <c r="I556" i="17"/>
  <c r="N556" i="17" s="1"/>
  <c r="J556" i="17"/>
  <c r="O556" i="17" s="1"/>
  <c r="K556" i="17"/>
  <c r="I557" i="17"/>
  <c r="N557" i="17" s="1"/>
  <c r="J557" i="17"/>
  <c r="O557" i="17" s="1"/>
  <c r="K557" i="17"/>
  <c r="I558" i="17"/>
  <c r="N558" i="17" s="1"/>
  <c r="J558" i="17"/>
  <c r="O558" i="17" s="1"/>
  <c r="K558" i="17"/>
  <c r="I559" i="17"/>
  <c r="N559" i="17" s="1"/>
  <c r="J559" i="17"/>
  <c r="O559" i="17" s="1"/>
  <c r="K559" i="17"/>
  <c r="I560" i="17"/>
  <c r="N560" i="17" s="1"/>
  <c r="J560" i="17"/>
  <c r="O560" i="17" s="1"/>
  <c r="K560" i="17"/>
  <c r="I561" i="17"/>
  <c r="N561" i="17" s="1"/>
  <c r="J561" i="17"/>
  <c r="O561" i="17" s="1"/>
  <c r="K561" i="17"/>
  <c r="I562" i="17"/>
  <c r="N562" i="17" s="1"/>
  <c r="J562" i="17"/>
  <c r="O562" i="17" s="1"/>
  <c r="K562" i="17"/>
  <c r="I563" i="17"/>
  <c r="N563" i="17" s="1"/>
  <c r="J563" i="17"/>
  <c r="O563" i="17" s="1"/>
  <c r="K563" i="17"/>
  <c r="I564" i="17"/>
  <c r="N564" i="17" s="1"/>
  <c r="J564" i="17"/>
  <c r="O564" i="17" s="1"/>
  <c r="K564" i="17"/>
  <c r="I565" i="17"/>
  <c r="N565" i="17" s="1"/>
  <c r="J565" i="17"/>
  <c r="O565" i="17" s="1"/>
  <c r="K565" i="17"/>
  <c r="I566" i="17"/>
  <c r="N566" i="17" s="1"/>
  <c r="J566" i="17"/>
  <c r="O566" i="17" s="1"/>
  <c r="K566" i="17"/>
  <c r="I567" i="17"/>
  <c r="N567" i="17" s="1"/>
  <c r="J567" i="17"/>
  <c r="O567" i="17" s="1"/>
  <c r="K567" i="17"/>
  <c r="I568" i="17"/>
  <c r="N568" i="17" s="1"/>
  <c r="J568" i="17"/>
  <c r="O568" i="17" s="1"/>
  <c r="K568" i="17"/>
  <c r="I569" i="17"/>
  <c r="N569" i="17" s="1"/>
  <c r="J569" i="17"/>
  <c r="O569" i="17" s="1"/>
  <c r="K569" i="17"/>
  <c r="I570" i="17"/>
  <c r="N570" i="17" s="1"/>
  <c r="J570" i="17"/>
  <c r="O570" i="17" s="1"/>
  <c r="K570" i="17"/>
  <c r="I571" i="17"/>
  <c r="N571" i="17" s="1"/>
  <c r="J571" i="17"/>
  <c r="O571" i="17" s="1"/>
  <c r="K571" i="17"/>
  <c r="I572" i="17"/>
  <c r="N572" i="17" s="1"/>
  <c r="J572" i="17"/>
  <c r="O572" i="17" s="1"/>
  <c r="K572" i="17"/>
  <c r="I573" i="17"/>
  <c r="N573" i="17" s="1"/>
  <c r="J573" i="17"/>
  <c r="O573" i="17" s="1"/>
  <c r="K573" i="17"/>
  <c r="I574" i="17"/>
  <c r="N574" i="17" s="1"/>
  <c r="J574" i="17"/>
  <c r="O574" i="17" s="1"/>
  <c r="K574" i="17"/>
  <c r="I575" i="17"/>
  <c r="N575" i="17" s="1"/>
  <c r="J575" i="17"/>
  <c r="O575" i="17" s="1"/>
  <c r="K575" i="17"/>
  <c r="I576" i="17"/>
  <c r="N576" i="17" s="1"/>
  <c r="J576" i="17"/>
  <c r="O576" i="17" s="1"/>
  <c r="K576" i="17"/>
  <c r="I577" i="17"/>
  <c r="J577" i="17"/>
  <c r="O577" i="17" s="1"/>
  <c r="K577" i="17"/>
  <c r="I578" i="17"/>
  <c r="J578" i="17"/>
  <c r="O578" i="17" s="1"/>
  <c r="K578" i="17"/>
  <c r="I579" i="17"/>
  <c r="N579" i="17" s="1"/>
  <c r="J579" i="17"/>
  <c r="O579" i="17" s="1"/>
  <c r="K579" i="17"/>
  <c r="I580" i="17"/>
  <c r="N580" i="17" s="1"/>
  <c r="J580" i="17"/>
  <c r="O580" i="17" s="1"/>
  <c r="K580" i="17"/>
  <c r="I581" i="17"/>
  <c r="N581" i="17" s="1"/>
  <c r="J581" i="17"/>
  <c r="O581" i="17" s="1"/>
  <c r="K581" i="17"/>
  <c r="I582" i="17"/>
  <c r="N582" i="17" s="1"/>
  <c r="J582" i="17"/>
  <c r="O582" i="17" s="1"/>
  <c r="K582" i="17"/>
  <c r="I583" i="17"/>
  <c r="N583" i="17" s="1"/>
  <c r="J583" i="17"/>
  <c r="O583" i="17" s="1"/>
  <c r="K583" i="17"/>
  <c r="I584" i="17"/>
  <c r="N584" i="17" s="1"/>
  <c r="J584" i="17"/>
  <c r="O584" i="17" s="1"/>
  <c r="K584" i="17"/>
  <c r="I585" i="17"/>
  <c r="N585" i="17" s="1"/>
  <c r="J585" i="17"/>
  <c r="O585" i="17" s="1"/>
  <c r="K585" i="17"/>
  <c r="I586" i="17"/>
  <c r="N586" i="17" s="1"/>
  <c r="J586" i="17"/>
  <c r="O586" i="17" s="1"/>
  <c r="K586" i="17"/>
  <c r="I587" i="17"/>
  <c r="N587" i="17" s="1"/>
  <c r="J587" i="17"/>
  <c r="O587" i="17" s="1"/>
  <c r="K587" i="17"/>
  <c r="I588" i="17"/>
  <c r="N588" i="17" s="1"/>
  <c r="J588" i="17"/>
  <c r="O588" i="17" s="1"/>
  <c r="K588" i="17"/>
  <c r="I589" i="17"/>
  <c r="N589" i="17" s="1"/>
  <c r="J589" i="17"/>
  <c r="O589" i="17" s="1"/>
  <c r="K589" i="17"/>
  <c r="I590" i="17"/>
  <c r="N590" i="17" s="1"/>
  <c r="J590" i="17"/>
  <c r="O590" i="17" s="1"/>
  <c r="K590" i="17"/>
  <c r="I591" i="17"/>
  <c r="N591" i="17" s="1"/>
  <c r="J591" i="17"/>
  <c r="O591" i="17" s="1"/>
  <c r="K591" i="17"/>
  <c r="I592" i="17"/>
  <c r="N592" i="17" s="1"/>
  <c r="J592" i="17"/>
  <c r="O592" i="17" s="1"/>
  <c r="K592" i="17"/>
  <c r="I593" i="17"/>
  <c r="N593" i="17" s="1"/>
  <c r="J593" i="17"/>
  <c r="O593" i="17" s="1"/>
  <c r="K593" i="17"/>
  <c r="I594" i="17"/>
  <c r="N594" i="17" s="1"/>
  <c r="J594" i="17"/>
  <c r="O594" i="17" s="1"/>
  <c r="K594" i="17"/>
  <c r="I595" i="17"/>
  <c r="N595" i="17" s="1"/>
  <c r="J595" i="17"/>
  <c r="O595" i="17" s="1"/>
  <c r="K595" i="17"/>
  <c r="I596" i="17"/>
  <c r="N596" i="17" s="1"/>
  <c r="J596" i="17"/>
  <c r="O596" i="17" s="1"/>
  <c r="K596" i="17"/>
  <c r="I597" i="17"/>
  <c r="N597" i="17" s="1"/>
  <c r="J597" i="17"/>
  <c r="O597" i="17" s="1"/>
  <c r="K597" i="17"/>
  <c r="I598" i="17"/>
  <c r="N598" i="17" s="1"/>
  <c r="J598" i="17"/>
  <c r="O598" i="17" s="1"/>
  <c r="K598" i="17"/>
  <c r="I599" i="17"/>
  <c r="N599" i="17" s="1"/>
  <c r="J599" i="17"/>
  <c r="O599" i="17" s="1"/>
  <c r="K599" i="17"/>
  <c r="I600" i="17"/>
  <c r="N600" i="17" s="1"/>
  <c r="J600" i="17"/>
  <c r="O600" i="17" s="1"/>
  <c r="K600" i="17"/>
  <c r="I601" i="17"/>
  <c r="N601" i="17" s="1"/>
  <c r="J601" i="17"/>
  <c r="O601" i="17" s="1"/>
  <c r="K601" i="17"/>
  <c r="I602" i="17"/>
  <c r="N602" i="17" s="1"/>
  <c r="J602" i="17"/>
  <c r="O602" i="17" s="1"/>
  <c r="K602" i="17"/>
  <c r="I603" i="17"/>
  <c r="N603" i="17" s="1"/>
  <c r="J603" i="17"/>
  <c r="O603" i="17" s="1"/>
  <c r="K603" i="17"/>
  <c r="I604" i="17"/>
  <c r="N604" i="17" s="1"/>
  <c r="J604" i="17"/>
  <c r="O604" i="17" s="1"/>
  <c r="K604" i="17"/>
  <c r="I605" i="17"/>
  <c r="N605" i="17" s="1"/>
  <c r="J605" i="17"/>
  <c r="O605" i="17" s="1"/>
  <c r="K605" i="17"/>
  <c r="I606" i="17"/>
  <c r="N606" i="17" s="1"/>
  <c r="J606" i="17"/>
  <c r="O606" i="17" s="1"/>
  <c r="K606" i="17"/>
  <c r="I607" i="17"/>
  <c r="N607" i="17" s="1"/>
  <c r="J607" i="17"/>
  <c r="O607" i="17" s="1"/>
  <c r="K607" i="17"/>
  <c r="I608" i="17"/>
  <c r="N608" i="17" s="1"/>
  <c r="J608" i="17"/>
  <c r="O608" i="17" s="1"/>
  <c r="K608" i="17"/>
  <c r="I609" i="17"/>
  <c r="N609" i="17" s="1"/>
  <c r="J609" i="17"/>
  <c r="O609" i="17" s="1"/>
  <c r="K609" i="17"/>
  <c r="I610" i="17"/>
  <c r="N610" i="17" s="1"/>
  <c r="J610" i="17"/>
  <c r="O610" i="17" s="1"/>
  <c r="K610" i="17"/>
  <c r="I611" i="17"/>
  <c r="N611" i="17" s="1"/>
  <c r="J611" i="17"/>
  <c r="O611" i="17" s="1"/>
  <c r="K611" i="17"/>
  <c r="I612" i="17"/>
  <c r="N612" i="17" s="1"/>
  <c r="J612" i="17"/>
  <c r="O612" i="17" s="1"/>
  <c r="K612" i="17"/>
  <c r="I613" i="17"/>
  <c r="J613" i="17"/>
  <c r="O613" i="17" s="1"/>
  <c r="K613" i="17"/>
  <c r="I614" i="17"/>
  <c r="J614" i="17"/>
  <c r="O614" i="17" s="1"/>
  <c r="K614" i="17"/>
  <c r="I615" i="17"/>
  <c r="N615" i="17" s="1"/>
  <c r="J615" i="17"/>
  <c r="O615" i="17" s="1"/>
  <c r="K615" i="17"/>
  <c r="I616" i="17"/>
  <c r="N616" i="17" s="1"/>
  <c r="J616" i="17"/>
  <c r="O616" i="17" s="1"/>
  <c r="K616" i="17"/>
  <c r="I617" i="17"/>
  <c r="N617" i="17" s="1"/>
  <c r="J617" i="17"/>
  <c r="O617" i="17" s="1"/>
  <c r="K617" i="17"/>
  <c r="I618" i="17"/>
  <c r="N618" i="17" s="1"/>
  <c r="J618" i="17"/>
  <c r="O618" i="17" s="1"/>
  <c r="K618" i="17"/>
  <c r="I619" i="17"/>
  <c r="N619" i="17" s="1"/>
  <c r="J619" i="17"/>
  <c r="O619" i="17" s="1"/>
  <c r="K619" i="17"/>
  <c r="I620" i="17"/>
  <c r="N620" i="17" s="1"/>
  <c r="J620" i="17"/>
  <c r="O620" i="17" s="1"/>
  <c r="K620" i="17"/>
  <c r="I621" i="17"/>
  <c r="N621" i="17" s="1"/>
  <c r="J621" i="17"/>
  <c r="O621" i="17" s="1"/>
  <c r="K621" i="17"/>
  <c r="I622" i="17"/>
  <c r="N622" i="17" s="1"/>
  <c r="J622" i="17"/>
  <c r="O622" i="17" s="1"/>
  <c r="K622" i="17"/>
  <c r="I623" i="17"/>
  <c r="N623" i="17" s="1"/>
  <c r="J623" i="17"/>
  <c r="O623" i="17" s="1"/>
  <c r="K623" i="17"/>
  <c r="I624" i="17"/>
  <c r="N624" i="17" s="1"/>
  <c r="J624" i="17"/>
  <c r="O624" i="17" s="1"/>
  <c r="K624" i="17"/>
  <c r="I625" i="17"/>
  <c r="N625" i="17" s="1"/>
  <c r="J625" i="17"/>
  <c r="O625" i="17" s="1"/>
  <c r="K625" i="17"/>
  <c r="I626" i="17"/>
  <c r="N626" i="17" s="1"/>
  <c r="J626" i="17"/>
  <c r="O626" i="17" s="1"/>
  <c r="K626" i="17"/>
  <c r="I627" i="17"/>
  <c r="N627" i="17" s="1"/>
  <c r="J627" i="17"/>
  <c r="O627" i="17" s="1"/>
  <c r="K627" i="17"/>
  <c r="I628" i="17"/>
  <c r="N628" i="17" s="1"/>
  <c r="J628" i="17"/>
  <c r="O628" i="17" s="1"/>
  <c r="K628" i="17"/>
  <c r="I629" i="17"/>
  <c r="N629" i="17" s="1"/>
  <c r="J629" i="17"/>
  <c r="O629" i="17" s="1"/>
  <c r="K629" i="17"/>
  <c r="I630" i="17"/>
  <c r="N630" i="17" s="1"/>
  <c r="J630" i="17"/>
  <c r="O630" i="17" s="1"/>
  <c r="K630" i="17"/>
  <c r="I631" i="17"/>
  <c r="N631" i="17" s="1"/>
  <c r="J631" i="17"/>
  <c r="O631" i="17" s="1"/>
  <c r="K631" i="17"/>
  <c r="I632" i="17"/>
  <c r="N632" i="17" s="1"/>
  <c r="J632" i="17"/>
  <c r="O632" i="17" s="1"/>
  <c r="K632" i="17"/>
  <c r="I633" i="17"/>
  <c r="N633" i="17" s="1"/>
  <c r="J633" i="17"/>
  <c r="O633" i="17" s="1"/>
  <c r="K633" i="17"/>
  <c r="I634" i="17"/>
  <c r="N634" i="17" s="1"/>
  <c r="J634" i="17"/>
  <c r="O634" i="17" s="1"/>
  <c r="K634" i="17"/>
  <c r="I635" i="17"/>
  <c r="N635" i="17" s="1"/>
  <c r="J635" i="17"/>
  <c r="O635" i="17" s="1"/>
  <c r="K635" i="17"/>
  <c r="I636" i="17"/>
  <c r="N636" i="17" s="1"/>
  <c r="J636" i="17"/>
  <c r="O636" i="17" s="1"/>
  <c r="K636" i="17"/>
  <c r="I637" i="17"/>
  <c r="N637" i="17" s="1"/>
  <c r="J637" i="17"/>
  <c r="O637" i="17" s="1"/>
  <c r="K637" i="17"/>
  <c r="I638" i="17"/>
  <c r="N638" i="17" s="1"/>
  <c r="J638" i="17"/>
  <c r="O638" i="17" s="1"/>
  <c r="K638" i="17"/>
  <c r="I639" i="17"/>
  <c r="N639" i="17" s="1"/>
  <c r="J639" i="17"/>
  <c r="O639" i="17" s="1"/>
  <c r="K639" i="17"/>
  <c r="I640" i="17"/>
  <c r="N640" i="17" s="1"/>
  <c r="J640" i="17"/>
  <c r="O640" i="17" s="1"/>
  <c r="K640" i="17"/>
  <c r="I641" i="17"/>
  <c r="N641" i="17" s="1"/>
  <c r="J641" i="17"/>
  <c r="O641" i="17" s="1"/>
  <c r="K641" i="17"/>
  <c r="I642" i="17"/>
  <c r="N642" i="17" s="1"/>
  <c r="J642" i="17"/>
  <c r="O642" i="17" s="1"/>
  <c r="K642" i="17"/>
  <c r="I643" i="17"/>
  <c r="N643" i="17" s="1"/>
  <c r="J643" i="17"/>
  <c r="O643" i="17" s="1"/>
  <c r="K643" i="17"/>
  <c r="I644" i="17"/>
  <c r="N644" i="17" s="1"/>
  <c r="J644" i="17"/>
  <c r="O644" i="17" s="1"/>
  <c r="K644" i="17"/>
  <c r="I645" i="17"/>
  <c r="N645" i="17" s="1"/>
  <c r="J645" i="17"/>
  <c r="O645" i="17" s="1"/>
  <c r="K645" i="17"/>
  <c r="I646" i="17"/>
  <c r="N646" i="17" s="1"/>
  <c r="J646" i="17"/>
  <c r="O646" i="17" s="1"/>
  <c r="K646" i="17"/>
  <c r="I647" i="17"/>
  <c r="N647" i="17" s="1"/>
  <c r="J647" i="17"/>
  <c r="O647" i="17" s="1"/>
  <c r="K647" i="17"/>
  <c r="I648" i="17"/>
  <c r="N648" i="17" s="1"/>
  <c r="J648" i="17"/>
  <c r="O648" i="17" s="1"/>
  <c r="K648" i="17"/>
  <c r="I649" i="17"/>
  <c r="J649" i="17"/>
  <c r="O649" i="17" s="1"/>
  <c r="K649" i="17"/>
  <c r="I650" i="17"/>
  <c r="J650" i="17"/>
  <c r="O650" i="17" s="1"/>
  <c r="K650" i="17"/>
  <c r="I651" i="17"/>
  <c r="N651" i="17" s="1"/>
  <c r="J651" i="17"/>
  <c r="O651" i="17" s="1"/>
  <c r="K651" i="17"/>
  <c r="I652" i="17"/>
  <c r="N652" i="17" s="1"/>
  <c r="J652" i="17"/>
  <c r="O652" i="17" s="1"/>
  <c r="K652" i="17"/>
  <c r="I653" i="17"/>
  <c r="N653" i="17" s="1"/>
  <c r="J653" i="17"/>
  <c r="O653" i="17" s="1"/>
  <c r="K653" i="17"/>
  <c r="I654" i="17"/>
  <c r="N654" i="17" s="1"/>
  <c r="J654" i="17"/>
  <c r="O654" i="17" s="1"/>
  <c r="K654" i="17"/>
  <c r="I655" i="17"/>
  <c r="N655" i="17" s="1"/>
  <c r="J655" i="17"/>
  <c r="O655" i="17" s="1"/>
  <c r="K655" i="17"/>
  <c r="I656" i="17"/>
  <c r="N656" i="17" s="1"/>
  <c r="J656" i="17"/>
  <c r="O656" i="17" s="1"/>
  <c r="K656" i="17"/>
  <c r="I657" i="17"/>
  <c r="N657" i="17" s="1"/>
  <c r="J657" i="17"/>
  <c r="O657" i="17" s="1"/>
  <c r="K657" i="17"/>
  <c r="I658" i="17"/>
  <c r="N658" i="17" s="1"/>
  <c r="J658" i="17"/>
  <c r="O658" i="17" s="1"/>
  <c r="K658" i="17"/>
  <c r="I659" i="17"/>
  <c r="N659" i="17" s="1"/>
  <c r="J659" i="17"/>
  <c r="O659" i="17" s="1"/>
  <c r="K659" i="17"/>
  <c r="I660" i="17"/>
  <c r="N660" i="17" s="1"/>
  <c r="J660" i="17"/>
  <c r="O660" i="17" s="1"/>
  <c r="K660" i="17"/>
  <c r="I661" i="17"/>
  <c r="N661" i="17" s="1"/>
  <c r="J661" i="17"/>
  <c r="O661" i="17" s="1"/>
  <c r="K661" i="17"/>
  <c r="I662" i="17"/>
  <c r="N662" i="17" s="1"/>
  <c r="J662" i="17"/>
  <c r="O662" i="17" s="1"/>
  <c r="K662" i="17"/>
  <c r="I663" i="17"/>
  <c r="N663" i="17" s="1"/>
  <c r="J663" i="17"/>
  <c r="O663" i="17" s="1"/>
  <c r="K663" i="17"/>
  <c r="I664" i="17"/>
  <c r="N664" i="17" s="1"/>
  <c r="J664" i="17"/>
  <c r="O664" i="17" s="1"/>
  <c r="K664" i="17"/>
  <c r="I665" i="17"/>
  <c r="N665" i="17" s="1"/>
  <c r="J665" i="17"/>
  <c r="O665" i="17" s="1"/>
  <c r="K665" i="17"/>
  <c r="I666" i="17"/>
  <c r="N666" i="17" s="1"/>
  <c r="J666" i="17"/>
  <c r="O666" i="17" s="1"/>
  <c r="K666" i="17"/>
  <c r="I667" i="17"/>
  <c r="N667" i="17" s="1"/>
  <c r="J667" i="17"/>
  <c r="O667" i="17" s="1"/>
  <c r="K667" i="17"/>
  <c r="I668" i="17"/>
  <c r="N668" i="17" s="1"/>
  <c r="J668" i="17"/>
  <c r="O668" i="17" s="1"/>
  <c r="K668" i="17"/>
  <c r="I669" i="17"/>
  <c r="N669" i="17" s="1"/>
  <c r="J669" i="17"/>
  <c r="K669" i="17"/>
  <c r="I670" i="17"/>
  <c r="N670" i="17" s="1"/>
  <c r="J670" i="17"/>
  <c r="K670" i="17"/>
  <c r="I671" i="17"/>
  <c r="N671" i="17" s="1"/>
  <c r="J671" i="17"/>
  <c r="O671" i="17" s="1"/>
  <c r="K671" i="17"/>
  <c r="I672" i="17"/>
  <c r="N672" i="17" s="1"/>
  <c r="J672" i="17"/>
  <c r="O672" i="17" s="1"/>
  <c r="K672" i="17"/>
  <c r="I673" i="17"/>
  <c r="N673" i="17" s="1"/>
  <c r="J673" i="17"/>
  <c r="O673" i="17" s="1"/>
  <c r="K673" i="17"/>
  <c r="I674" i="17"/>
  <c r="N674" i="17" s="1"/>
  <c r="J674" i="17"/>
  <c r="O674" i="17" s="1"/>
  <c r="K674" i="17"/>
  <c r="I675" i="17"/>
  <c r="N675" i="17" s="1"/>
  <c r="J675" i="17"/>
  <c r="O675" i="17" s="1"/>
  <c r="K675" i="17"/>
  <c r="I676" i="17"/>
  <c r="N676" i="17" s="1"/>
  <c r="J676" i="17"/>
  <c r="O676" i="17" s="1"/>
  <c r="K676" i="17"/>
  <c r="I677" i="17"/>
  <c r="N677" i="17" s="1"/>
  <c r="J677" i="17"/>
  <c r="O677" i="17" s="1"/>
  <c r="K677" i="17"/>
  <c r="I678" i="17"/>
  <c r="N678" i="17" s="1"/>
  <c r="J678" i="17"/>
  <c r="O678" i="17" s="1"/>
  <c r="K678" i="17"/>
  <c r="I679" i="17"/>
  <c r="N679" i="17" s="1"/>
  <c r="J679" i="17"/>
  <c r="O679" i="17" s="1"/>
  <c r="K679" i="17"/>
  <c r="I680" i="17"/>
  <c r="N680" i="17" s="1"/>
  <c r="J680" i="17"/>
  <c r="O680" i="17" s="1"/>
  <c r="K680" i="17"/>
  <c r="I681" i="17"/>
  <c r="N681" i="17" s="1"/>
  <c r="J681" i="17"/>
  <c r="O681" i="17" s="1"/>
  <c r="K681" i="17"/>
  <c r="I682" i="17"/>
  <c r="N682" i="17" s="1"/>
  <c r="J682" i="17"/>
  <c r="O682" i="17" s="1"/>
  <c r="K682" i="17"/>
  <c r="I683" i="17"/>
  <c r="N683" i="17" s="1"/>
  <c r="J683" i="17"/>
  <c r="O683" i="17" s="1"/>
  <c r="K683" i="17"/>
  <c r="I684" i="17"/>
  <c r="N684" i="17" s="1"/>
  <c r="J684" i="17"/>
  <c r="O684" i="17" s="1"/>
  <c r="K684" i="17"/>
  <c r="I685" i="17"/>
  <c r="J685" i="17"/>
  <c r="O685" i="17" s="1"/>
  <c r="K685" i="17"/>
  <c r="I686" i="17"/>
  <c r="J686" i="17"/>
  <c r="O686" i="17" s="1"/>
  <c r="K686" i="17"/>
  <c r="I687" i="17"/>
  <c r="N687" i="17" s="1"/>
  <c r="J687" i="17"/>
  <c r="O687" i="17" s="1"/>
  <c r="K687" i="17"/>
  <c r="I688" i="17"/>
  <c r="N688" i="17" s="1"/>
  <c r="J688" i="17"/>
  <c r="O688" i="17" s="1"/>
  <c r="K688" i="17"/>
  <c r="I689" i="17"/>
  <c r="N689" i="17" s="1"/>
  <c r="J689" i="17"/>
  <c r="O689" i="17" s="1"/>
  <c r="K689" i="17"/>
  <c r="I690" i="17"/>
  <c r="N690" i="17" s="1"/>
  <c r="J690" i="17"/>
  <c r="O690" i="17" s="1"/>
  <c r="K690" i="17"/>
  <c r="I691" i="17"/>
  <c r="N691" i="17" s="1"/>
  <c r="J691" i="17"/>
  <c r="O691" i="17" s="1"/>
  <c r="K691" i="17"/>
  <c r="I692" i="17"/>
  <c r="N692" i="17" s="1"/>
  <c r="J692" i="17"/>
  <c r="O692" i="17" s="1"/>
  <c r="K692" i="17"/>
  <c r="I693" i="17"/>
  <c r="N693" i="17" s="1"/>
  <c r="J693" i="17"/>
  <c r="O693" i="17" s="1"/>
  <c r="K693" i="17"/>
  <c r="I694" i="17"/>
  <c r="N694" i="17" s="1"/>
  <c r="J694" i="17"/>
  <c r="O694" i="17" s="1"/>
  <c r="K694" i="17"/>
  <c r="I695" i="17"/>
  <c r="N695" i="17" s="1"/>
  <c r="J695" i="17"/>
  <c r="O695" i="17" s="1"/>
  <c r="K695" i="17"/>
  <c r="I696" i="17"/>
  <c r="N696" i="17" s="1"/>
  <c r="J696" i="17"/>
  <c r="O696" i="17" s="1"/>
  <c r="K696" i="17"/>
  <c r="I697" i="17"/>
  <c r="N697" i="17" s="1"/>
  <c r="J697" i="17"/>
  <c r="O697" i="17" s="1"/>
  <c r="K697" i="17"/>
  <c r="I698" i="17"/>
  <c r="N698" i="17" s="1"/>
  <c r="J698" i="17"/>
  <c r="O698" i="17" s="1"/>
  <c r="K698" i="17"/>
  <c r="I699" i="17"/>
  <c r="N699" i="17" s="1"/>
  <c r="J699" i="17"/>
  <c r="O699" i="17" s="1"/>
  <c r="K699" i="17"/>
  <c r="I700" i="17"/>
  <c r="N700" i="17" s="1"/>
  <c r="J700" i="17"/>
  <c r="O700" i="17" s="1"/>
  <c r="K700" i="17"/>
  <c r="I701" i="17"/>
  <c r="N701" i="17" s="1"/>
  <c r="J701" i="17"/>
  <c r="O701" i="17" s="1"/>
  <c r="K701" i="17"/>
  <c r="I702" i="17"/>
  <c r="N702" i="17" s="1"/>
  <c r="J702" i="17"/>
  <c r="O702" i="17" s="1"/>
  <c r="K702" i="17"/>
  <c r="I703" i="17"/>
  <c r="N703" i="17" s="1"/>
  <c r="J703" i="17"/>
  <c r="O703" i="17" s="1"/>
  <c r="K703" i="17"/>
  <c r="I704" i="17"/>
  <c r="N704" i="17" s="1"/>
  <c r="J704" i="17"/>
  <c r="O704" i="17" s="1"/>
  <c r="K704" i="17"/>
  <c r="I705" i="17"/>
  <c r="N705" i="17" s="1"/>
  <c r="J705" i="17"/>
  <c r="O705" i="17" s="1"/>
  <c r="K705" i="17"/>
  <c r="I706" i="17"/>
  <c r="N706" i="17" s="1"/>
  <c r="J706" i="17"/>
  <c r="O706" i="17" s="1"/>
  <c r="K706" i="17"/>
  <c r="I707" i="17"/>
  <c r="N707" i="17" s="1"/>
  <c r="J707" i="17"/>
  <c r="O707" i="17" s="1"/>
  <c r="K707" i="17"/>
  <c r="I708" i="17"/>
  <c r="N708" i="17" s="1"/>
  <c r="J708" i="17"/>
  <c r="O708" i="17" s="1"/>
  <c r="K708" i="17"/>
  <c r="I709" i="17"/>
  <c r="N709" i="17" s="1"/>
  <c r="J709" i="17"/>
  <c r="O709" i="17" s="1"/>
  <c r="K709" i="17"/>
  <c r="I710" i="17"/>
  <c r="N710" i="17" s="1"/>
  <c r="J710" i="17"/>
  <c r="O710" i="17" s="1"/>
  <c r="K710" i="17"/>
  <c r="I711" i="17"/>
  <c r="N711" i="17" s="1"/>
  <c r="J711" i="17"/>
  <c r="O711" i="17" s="1"/>
  <c r="K711" i="17"/>
  <c r="I712" i="17"/>
  <c r="N712" i="17" s="1"/>
  <c r="J712" i="17"/>
  <c r="O712" i="17" s="1"/>
  <c r="K712" i="17"/>
  <c r="I713" i="17"/>
  <c r="N713" i="17" s="1"/>
  <c r="J713" i="17"/>
  <c r="O713" i="17" s="1"/>
  <c r="K713" i="17"/>
  <c r="I714" i="17"/>
  <c r="N714" i="17" s="1"/>
  <c r="J714" i="17"/>
  <c r="O714" i="17" s="1"/>
  <c r="K714" i="17"/>
  <c r="I715" i="17"/>
  <c r="N715" i="17" s="1"/>
  <c r="J715" i="17"/>
  <c r="O715" i="17" s="1"/>
  <c r="K715" i="17"/>
  <c r="I716" i="17"/>
  <c r="N716" i="17" s="1"/>
  <c r="J716" i="17"/>
  <c r="O716" i="17" s="1"/>
  <c r="K716" i="17"/>
  <c r="I717" i="17"/>
  <c r="N717" i="17" s="1"/>
  <c r="J717" i="17"/>
  <c r="O717" i="17" s="1"/>
  <c r="K717" i="17"/>
  <c r="I718" i="17"/>
  <c r="N718" i="17" s="1"/>
  <c r="J718" i="17"/>
  <c r="O718" i="17" s="1"/>
  <c r="K718" i="17"/>
  <c r="I719" i="17"/>
  <c r="N719" i="17" s="1"/>
  <c r="J719" i="17"/>
  <c r="O719" i="17" s="1"/>
  <c r="K719" i="17"/>
  <c r="I720" i="17"/>
  <c r="N720" i="17" s="1"/>
  <c r="J720" i="17"/>
  <c r="O720" i="17" s="1"/>
  <c r="K720" i="17"/>
  <c r="I721" i="17"/>
  <c r="J721" i="17"/>
  <c r="O721" i="17" s="1"/>
  <c r="K721" i="17"/>
  <c r="I722" i="17"/>
  <c r="J722" i="17"/>
  <c r="O722" i="17" s="1"/>
  <c r="K722" i="17"/>
  <c r="I723" i="17"/>
  <c r="N723" i="17" s="1"/>
  <c r="J723" i="17"/>
  <c r="O723" i="17" s="1"/>
  <c r="K723" i="17"/>
  <c r="I724" i="17"/>
  <c r="N724" i="17" s="1"/>
  <c r="J724" i="17"/>
  <c r="O724" i="17" s="1"/>
  <c r="K724" i="17"/>
  <c r="I725" i="17"/>
  <c r="N725" i="17" s="1"/>
  <c r="J725" i="17"/>
  <c r="O725" i="17" s="1"/>
  <c r="K725" i="17"/>
  <c r="I726" i="17"/>
  <c r="N726" i="17" s="1"/>
  <c r="J726" i="17"/>
  <c r="O726" i="17" s="1"/>
  <c r="K726" i="17"/>
  <c r="I727" i="17"/>
  <c r="N727" i="17" s="1"/>
  <c r="J727" i="17"/>
  <c r="O727" i="17" s="1"/>
  <c r="K727" i="17"/>
  <c r="I728" i="17"/>
  <c r="N728" i="17" s="1"/>
  <c r="J728" i="17"/>
  <c r="O728" i="17" s="1"/>
  <c r="K728" i="17"/>
  <c r="I729" i="17"/>
  <c r="N729" i="17" s="1"/>
  <c r="J729" i="17"/>
  <c r="O729" i="17" s="1"/>
  <c r="K729" i="17"/>
  <c r="I730" i="17"/>
  <c r="N730" i="17" s="1"/>
  <c r="J730" i="17"/>
  <c r="O730" i="17" s="1"/>
  <c r="K730" i="17"/>
  <c r="I731" i="17"/>
  <c r="N731" i="17" s="1"/>
  <c r="J731" i="17"/>
  <c r="O731" i="17" s="1"/>
  <c r="K731" i="17"/>
  <c r="I732" i="17"/>
  <c r="N732" i="17" s="1"/>
  <c r="J732" i="17"/>
  <c r="O732" i="17" s="1"/>
  <c r="K732" i="17"/>
  <c r="I733" i="17"/>
  <c r="N733" i="17" s="1"/>
  <c r="J733" i="17"/>
  <c r="O733" i="17" s="1"/>
  <c r="K733" i="17"/>
  <c r="I734" i="17"/>
  <c r="N734" i="17" s="1"/>
  <c r="J734" i="17"/>
  <c r="O734" i="17" s="1"/>
  <c r="K734" i="17"/>
  <c r="I735" i="17"/>
  <c r="N735" i="17" s="1"/>
  <c r="J735" i="17"/>
  <c r="O735" i="17" s="1"/>
  <c r="K735" i="17"/>
  <c r="I736" i="17"/>
  <c r="N736" i="17" s="1"/>
  <c r="J736" i="17"/>
  <c r="O736" i="17" s="1"/>
  <c r="K736" i="17"/>
  <c r="I737" i="17"/>
  <c r="N737" i="17" s="1"/>
  <c r="J737" i="17"/>
  <c r="O737" i="17" s="1"/>
  <c r="K737" i="17"/>
  <c r="I738" i="17"/>
  <c r="N738" i="17" s="1"/>
  <c r="J738" i="17"/>
  <c r="O738" i="17" s="1"/>
  <c r="K738" i="17"/>
  <c r="I739" i="17"/>
  <c r="N739" i="17" s="1"/>
  <c r="J739" i="17"/>
  <c r="O739" i="17" s="1"/>
  <c r="K739" i="17"/>
  <c r="I740" i="17"/>
  <c r="N740" i="17" s="1"/>
  <c r="J740" i="17"/>
  <c r="O740" i="17" s="1"/>
  <c r="K740" i="17"/>
  <c r="I741" i="17"/>
  <c r="N741" i="17" s="1"/>
  <c r="J741" i="17"/>
  <c r="O741" i="17" s="1"/>
  <c r="K741" i="17"/>
  <c r="I742" i="17"/>
  <c r="N742" i="17" s="1"/>
  <c r="J742" i="17"/>
  <c r="O742" i="17" s="1"/>
  <c r="K742" i="17"/>
  <c r="I743" i="17"/>
  <c r="N743" i="17" s="1"/>
  <c r="J743" i="17"/>
  <c r="O743" i="17" s="1"/>
  <c r="K743" i="17"/>
  <c r="I744" i="17"/>
  <c r="N744" i="17" s="1"/>
  <c r="J744" i="17"/>
  <c r="O744" i="17" s="1"/>
  <c r="K744" i="17"/>
  <c r="I745" i="17"/>
  <c r="N745" i="17" s="1"/>
  <c r="J745" i="17"/>
  <c r="O745" i="17" s="1"/>
  <c r="K745" i="17"/>
  <c r="I746" i="17"/>
  <c r="N746" i="17" s="1"/>
  <c r="J746" i="17"/>
  <c r="O746" i="17" s="1"/>
  <c r="K746" i="17"/>
  <c r="I747" i="17"/>
  <c r="N747" i="17" s="1"/>
  <c r="J747" i="17"/>
  <c r="O747" i="17" s="1"/>
  <c r="K747" i="17"/>
  <c r="I748" i="17"/>
  <c r="N748" i="17" s="1"/>
  <c r="J748" i="17"/>
  <c r="O748" i="17" s="1"/>
  <c r="K748" i="17"/>
  <c r="I749" i="17"/>
  <c r="N749" i="17" s="1"/>
  <c r="J749" i="17"/>
  <c r="O749" i="17" s="1"/>
  <c r="K749" i="17"/>
  <c r="I750" i="17"/>
  <c r="N750" i="17" s="1"/>
  <c r="J750" i="17"/>
  <c r="O750" i="17" s="1"/>
  <c r="K750" i="17"/>
  <c r="I751" i="17"/>
  <c r="N751" i="17" s="1"/>
  <c r="J751" i="17"/>
  <c r="O751" i="17" s="1"/>
  <c r="K751" i="17"/>
  <c r="I752" i="17"/>
  <c r="N752" i="17" s="1"/>
  <c r="J752" i="17"/>
  <c r="O752" i="17" s="1"/>
  <c r="K752" i="17"/>
  <c r="I753" i="17"/>
  <c r="N753" i="17" s="1"/>
  <c r="J753" i="17"/>
  <c r="O753" i="17" s="1"/>
  <c r="K753" i="17"/>
  <c r="I754" i="17"/>
  <c r="N754" i="17" s="1"/>
  <c r="J754" i="17"/>
  <c r="O754" i="17" s="1"/>
  <c r="K754" i="17"/>
  <c r="I755" i="17"/>
  <c r="N755" i="17" s="1"/>
  <c r="J755" i="17"/>
  <c r="O755" i="17" s="1"/>
  <c r="K755" i="17"/>
  <c r="I756" i="17"/>
  <c r="N756" i="17" s="1"/>
  <c r="J756" i="17"/>
  <c r="O756" i="17" s="1"/>
  <c r="K756" i="17"/>
  <c r="I757" i="17"/>
  <c r="J757" i="17"/>
  <c r="O757" i="17" s="1"/>
  <c r="K757" i="17"/>
  <c r="I758" i="17"/>
  <c r="J758" i="17"/>
  <c r="O758" i="17" s="1"/>
  <c r="K758" i="17"/>
  <c r="I759" i="17"/>
  <c r="N759" i="17" s="1"/>
  <c r="J759" i="17"/>
  <c r="O759" i="17" s="1"/>
  <c r="K759" i="17"/>
  <c r="I760" i="17"/>
  <c r="N760" i="17" s="1"/>
  <c r="J760" i="17"/>
  <c r="O760" i="17" s="1"/>
  <c r="K760" i="17"/>
  <c r="I761" i="17"/>
  <c r="N761" i="17" s="1"/>
  <c r="J761" i="17"/>
  <c r="O761" i="17" s="1"/>
  <c r="K761" i="17"/>
  <c r="I762" i="17"/>
  <c r="N762" i="17" s="1"/>
  <c r="J762" i="17"/>
  <c r="O762" i="17" s="1"/>
  <c r="K762" i="17"/>
  <c r="I763" i="17"/>
  <c r="N763" i="17" s="1"/>
  <c r="J763" i="17"/>
  <c r="O763" i="17" s="1"/>
  <c r="K763" i="17"/>
  <c r="I764" i="17"/>
  <c r="N764" i="17" s="1"/>
  <c r="J764" i="17"/>
  <c r="O764" i="17" s="1"/>
  <c r="K764" i="17"/>
  <c r="I765" i="17"/>
  <c r="N765" i="17" s="1"/>
  <c r="J765" i="17"/>
  <c r="O765" i="17" s="1"/>
  <c r="K765" i="17"/>
  <c r="I766" i="17"/>
  <c r="N766" i="17" s="1"/>
  <c r="J766" i="17"/>
  <c r="O766" i="17" s="1"/>
  <c r="K766" i="17"/>
  <c r="I767" i="17"/>
  <c r="N767" i="17" s="1"/>
  <c r="J767" i="17"/>
  <c r="O767" i="17" s="1"/>
  <c r="K767" i="17"/>
  <c r="I768" i="17"/>
  <c r="N768" i="17" s="1"/>
  <c r="J768" i="17"/>
  <c r="O768" i="17" s="1"/>
  <c r="K768" i="17"/>
  <c r="I769" i="17"/>
  <c r="N769" i="17" s="1"/>
  <c r="J769" i="17"/>
  <c r="O769" i="17" s="1"/>
  <c r="K769" i="17"/>
  <c r="I770" i="17"/>
  <c r="N770" i="17" s="1"/>
  <c r="J770" i="17"/>
  <c r="O770" i="17" s="1"/>
  <c r="K770" i="17"/>
  <c r="I771" i="17"/>
  <c r="N771" i="17" s="1"/>
  <c r="J771" i="17"/>
  <c r="O771" i="17" s="1"/>
  <c r="K771" i="17"/>
  <c r="I772" i="17"/>
  <c r="N772" i="17" s="1"/>
  <c r="J772" i="17"/>
  <c r="O772" i="17" s="1"/>
  <c r="K772" i="17"/>
  <c r="I773" i="17"/>
  <c r="N773" i="17" s="1"/>
  <c r="J773" i="17"/>
  <c r="O773" i="17" s="1"/>
  <c r="K773" i="17"/>
  <c r="I774" i="17"/>
  <c r="N774" i="17" s="1"/>
  <c r="J774" i="17"/>
  <c r="O774" i="17" s="1"/>
  <c r="K774" i="17"/>
  <c r="I775" i="17"/>
  <c r="N775" i="17" s="1"/>
  <c r="J775" i="17"/>
  <c r="O775" i="17" s="1"/>
  <c r="K775" i="17"/>
  <c r="I776" i="17"/>
  <c r="N776" i="17" s="1"/>
  <c r="J776" i="17"/>
  <c r="O776" i="17" s="1"/>
  <c r="K776" i="17"/>
  <c r="I777" i="17"/>
  <c r="N777" i="17" s="1"/>
  <c r="J777" i="17"/>
  <c r="O777" i="17" s="1"/>
  <c r="K777" i="17"/>
  <c r="I778" i="17"/>
  <c r="N778" i="17" s="1"/>
  <c r="J778" i="17"/>
  <c r="O778" i="17" s="1"/>
  <c r="K778" i="17"/>
  <c r="I779" i="17"/>
  <c r="N779" i="17" s="1"/>
  <c r="J779" i="17"/>
  <c r="O779" i="17" s="1"/>
  <c r="K779" i="17"/>
  <c r="I780" i="17"/>
  <c r="N780" i="17" s="1"/>
  <c r="J780" i="17"/>
  <c r="O780" i="17" s="1"/>
  <c r="K780" i="17"/>
  <c r="I781" i="17"/>
  <c r="N781" i="17" s="1"/>
  <c r="J781" i="17"/>
  <c r="O781" i="17" s="1"/>
  <c r="K781" i="17"/>
  <c r="I782" i="17"/>
  <c r="N782" i="17" s="1"/>
  <c r="J782" i="17"/>
  <c r="O782" i="17" s="1"/>
  <c r="K782" i="17"/>
  <c r="I783" i="17"/>
  <c r="N783" i="17" s="1"/>
  <c r="J783" i="17"/>
  <c r="O783" i="17" s="1"/>
  <c r="K783" i="17"/>
  <c r="I784" i="17"/>
  <c r="N784" i="17" s="1"/>
  <c r="J784" i="17"/>
  <c r="O784" i="17" s="1"/>
  <c r="K784" i="17"/>
  <c r="I785" i="17"/>
  <c r="N785" i="17" s="1"/>
  <c r="J785" i="17"/>
  <c r="O785" i="17" s="1"/>
  <c r="K785" i="17"/>
  <c r="I786" i="17"/>
  <c r="N786" i="17" s="1"/>
  <c r="J786" i="17"/>
  <c r="O786" i="17" s="1"/>
  <c r="K786" i="17"/>
  <c r="I787" i="17"/>
  <c r="N787" i="17" s="1"/>
  <c r="J787" i="17"/>
  <c r="O787" i="17" s="1"/>
  <c r="K787" i="17"/>
  <c r="I788" i="17"/>
  <c r="N788" i="17" s="1"/>
  <c r="J788" i="17"/>
  <c r="O788" i="17" s="1"/>
  <c r="K788" i="17"/>
  <c r="I789" i="17"/>
  <c r="N789" i="17" s="1"/>
  <c r="J789" i="17"/>
  <c r="O789" i="17" s="1"/>
  <c r="K789" i="17"/>
  <c r="I790" i="17"/>
  <c r="J790" i="17"/>
  <c r="O790" i="17" s="1"/>
  <c r="K790" i="17"/>
  <c r="I791" i="17"/>
  <c r="J791" i="17"/>
  <c r="O791" i="17" s="1"/>
  <c r="K791" i="17"/>
  <c r="I792" i="17"/>
  <c r="N792" i="17" s="1"/>
  <c r="J792" i="17"/>
  <c r="O792" i="17" s="1"/>
  <c r="K792" i="17"/>
  <c r="I793" i="17"/>
  <c r="N793" i="17" s="1"/>
  <c r="J793" i="17"/>
  <c r="O793" i="17" s="1"/>
  <c r="K793" i="17"/>
  <c r="I794" i="17"/>
  <c r="N794" i="17" s="1"/>
  <c r="J794" i="17"/>
  <c r="O794" i="17" s="1"/>
  <c r="K794" i="17"/>
  <c r="I795" i="17"/>
  <c r="N795" i="17" s="1"/>
  <c r="J795" i="17"/>
  <c r="O795" i="17" s="1"/>
  <c r="K795" i="17"/>
  <c r="I796" i="17"/>
  <c r="N796" i="17" s="1"/>
  <c r="J796" i="17"/>
  <c r="O796" i="17" s="1"/>
  <c r="K796" i="17"/>
  <c r="I797" i="17"/>
  <c r="N797" i="17" s="1"/>
  <c r="J797" i="17"/>
  <c r="O797" i="17" s="1"/>
  <c r="K797" i="17"/>
  <c r="I798" i="17"/>
  <c r="N798" i="17" s="1"/>
  <c r="J798" i="17"/>
  <c r="O798" i="17" s="1"/>
  <c r="K798" i="17"/>
  <c r="I799" i="17"/>
  <c r="N799" i="17" s="1"/>
  <c r="J799" i="17"/>
  <c r="O799" i="17" s="1"/>
  <c r="K799" i="17"/>
  <c r="I800" i="17"/>
  <c r="N800" i="17" s="1"/>
  <c r="J800" i="17"/>
  <c r="O800" i="17" s="1"/>
  <c r="K800" i="17"/>
  <c r="I801" i="17"/>
  <c r="N801" i="17" s="1"/>
  <c r="J801" i="17"/>
  <c r="O801" i="17" s="1"/>
  <c r="K801" i="17"/>
  <c r="I802" i="17"/>
  <c r="N802" i="17" s="1"/>
  <c r="J802" i="17"/>
  <c r="O802" i="17" s="1"/>
  <c r="K802" i="17"/>
  <c r="I803" i="17"/>
  <c r="N803" i="17" s="1"/>
  <c r="J803" i="17"/>
  <c r="O803" i="17" s="1"/>
  <c r="K803" i="17"/>
  <c r="I804" i="17"/>
  <c r="N804" i="17" s="1"/>
  <c r="J804" i="17"/>
  <c r="O804" i="17" s="1"/>
  <c r="K804" i="17"/>
  <c r="I805" i="17"/>
  <c r="N805" i="17" s="1"/>
  <c r="J805" i="17"/>
  <c r="O805" i="17" s="1"/>
  <c r="K805" i="17"/>
  <c r="I806" i="17"/>
  <c r="N806" i="17" s="1"/>
  <c r="J806" i="17"/>
  <c r="O806" i="17" s="1"/>
  <c r="K806" i="17"/>
  <c r="I807" i="17"/>
  <c r="N807" i="17" s="1"/>
  <c r="J807" i="17"/>
  <c r="O807" i="17" s="1"/>
  <c r="K807" i="17"/>
  <c r="I808" i="17"/>
  <c r="J808" i="17"/>
  <c r="O808" i="17" s="1"/>
  <c r="K808" i="17"/>
  <c r="I809" i="17"/>
  <c r="N809" i="17" s="1"/>
  <c r="J809" i="17"/>
  <c r="O809" i="17" s="1"/>
  <c r="K809" i="17"/>
  <c r="I810" i="17"/>
  <c r="N810" i="17" s="1"/>
  <c r="J810" i="17"/>
  <c r="K810" i="17"/>
  <c r="I811" i="17"/>
  <c r="N811" i="17" s="1"/>
  <c r="J811" i="17"/>
  <c r="K811" i="17"/>
  <c r="I812" i="17"/>
  <c r="J812" i="17"/>
  <c r="O812" i="17" s="1"/>
  <c r="K812" i="17"/>
  <c r="I813" i="17"/>
  <c r="N813" i="17" s="1"/>
  <c r="J813" i="17"/>
  <c r="O813" i="17" s="1"/>
  <c r="K813" i="17"/>
  <c r="I814" i="17"/>
  <c r="N814" i="17" s="1"/>
  <c r="J814" i="17"/>
  <c r="O814" i="17" s="1"/>
  <c r="K814" i="17"/>
  <c r="I815" i="17"/>
  <c r="N815" i="17" s="1"/>
  <c r="J815" i="17"/>
  <c r="O815" i="17" s="1"/>
  <c r="K815" i="17"/>
  <c r="I816" i="17"/>
  <c r="N816" i="17" s="1"/>
  <c r="J816" i="17"/>
  <c r="O816" i="17" s="1"/>
  <c r="K816" i="17"/>
  <c r="I817" i="17"/>
  <c r="N817" i="17" s="1"/>
  <c r="J817" i="17"/>
  <c r="O817" i="17" s="1"/>
  <c r="K817" i="17"/>
  <c r="I818" i="17"/>
  <c r="N818" i="17" s="1"/>
  <c r="J818" i="17"/>
  <c r="O818" i="17" s="1"/>
  <c r="K818" i="17"/>
  <c r="I819" i="17"/>
  <c r="N819" i="17" s="1"/>
  <c r="J819" i="17"/>
  <c r="O819" i="17" s="1"/>
  <c r="K819" i="17"/>
  <c r="I820" i="17"/>
  <c r="N820" i="17" s="1"/>
  <c r="J820" i="17"/>
  <c r="O820" i="17" s="1"/>
  <c r="K820" i="17"/>
  <c r="I821" i="17"/>
  <c r="N821" i="17" s="1"/>
  <c r="J821" i="17"/>
  <c r="O821" i="17" s="1"/>
  <c r="K821" i="17"/>
  <c r="I822" i="17"/>
  <c r="N822" i="17" s="1"/>
  <c r="J822" i="17"/>
  <c r="O822" i="17" s="1"/>
  <c r="K822" i="17"/>
  <c r="I823" i="17"/>
  <c r="N823" i="17" s="1"/>
  <c r="J823" i="17"/>
  <c r="O823" i="17" s="1"/>
  <c r="K823" i="17"/>
  <c r="I824" i="17"/>
  <c r="N824" i="17" s="1"/>
  <c r="J824" i="17"/>
  <c r="O824" i="17" s="1"/>
  <c r="K824" i="17"/>
  <c r="I825" i="17"/>
  <c r="N825" i="17" s="1"/>
  <c r="J825" i="17"/>
  <c r="O825" i="17" s="1"/>
  <c r="K825" i="17"/>
  <c r="I826" i="17"/>
  <c r="N826" i="17" s="1"/>
  <c r="J826" i="17"/>
  <c r="O826" i="17" s="1"/>
  <c r="K826" i="17"/>
  <c r="I827" i="17"/>
  <c r="N827" i="17" s="1"/>
  <c r="J827" i="17"/>
  <c r="O827" i="17" s="1"/>
  <c r="K827" i="17"/>
  <c r="I828" i="17"/>
  <c r="N828" i="17" s="1"/>
  <c r="J828" i="17"/>
  <c r="O828" i="17" s="1"/>
  <c r="K828" i="17"/>
  <c r="I829" i="17"/>
  <c r="J829" i="17"/>
  <c r="O829" i="17" s="1"/>
  <c r="K829" i="17"/>
  <c r="I830" i="17"/>
  <c r="J830" i="17"/>
  <c r="O830" i="17" s="1"/>
  <c r="K830" i="17"/>
  <c r="I831" i="17"/>
  <c r="N831" i="17" s="1"/>
  <c r="J831" i="17"/>
  <c r="O831" i="17" s="1"/>
  <c r="K831" i="17"/>
  <c r="I832" i="17"/>
  <c r="N832" i="17" s="1"/>
  <c r="J832" i="17"/>
  <c r="O832" i="17" s="1"/>
  <c r="K832" i="17"/>
  <c r="I833" i="17"/>
  <c r="N833" i="17" s="1"/>
  <c r="J833" i="17"/>
  <c r="O833" i="17" s="1"/>
  <c r="K833" i="17"/>
  <c r="I834" i="17"/>
  <c r="N834" i="17" s="1"/>
  <c r="J834" i="17"/>
  <c r="O834" i="17" s="1"/>
  <c r="K834" i="17"/>
  <c r="I835" i="17"/>
  <c r="N835" i="17" s="1"/>
  <c r="J835" i="17"/>
  <c r="O835" i="17" s="1"/>
  <c r="K835" i="17"/>
  <c r="I836" i="17"/>
  <c r="N836" i="17" s="1"/>
  <c r="J836" i="17"/>
  <c r="O836" i="17" s="1"/>
  <c r="K836" i="17"/>
  <c r="I837" i="17"/>
  <c r="N837" i="17" s="1"/>
  <c r="J837" i="17"/>
  <c r="O837" i="17" s="1"/>
  <c r="K837" i="17"/>
  <c r="I838" i="17"/>
  <c r="N838" i="17" s="1"/>
  <c r="J838" i="17"/>
  <c r="O838" i="17" s="1"/>
  <c r="K838" i="17"/>
  <c r="I839" i="17"/>
  <c r="N839" i="17" s="1"/>
  <c r="J839" i="17"/>
  <c r="O839" i="17" s="1"/>
  <c r="K839" i="17"/>
  <c r="I840" i="17"/>
  <c r="N840" i="17" s="1"/>
  <c r="J840" i="17"/>
  <c r="O840" i="17" s="1"/>
  <c r="K840" i="17"/>
  <c r="I841" i="17"/>
  <c r="N841" i="17" s="1"/>
  <c r="J841" i="17"/>
  <c r="O841" i="17" s="1"/>
  <c r="K841" i="17"/>
  <c r="I842" i="17"/>
  <c r="N842" i="17" s="1"/>
  <c r="J842" i="17"/>
  <c r="O842" i="17" s="1"/>
  <c r="K842" i="17"/>
  <c r="I843" i="17"/>
  <c r="N843" i="17" s="1"/>
  <c r="J843" i="17"/>
  <c r="O843" i="17" s="1"/>
  <c r="K843" i="17"/>
  <c r="I844" i="17"/>
  <c r="N844" i="17" s="1"/>
  <c r="J844" i="17"/>
  <c r="O844" i="17" s="1"/>
  <c r="K844" i="17"/>
  <c r="I845" i="17"/>
  <c r="N845" i="17" s="1"/>
  <c r="J845" i="17"/>
  <c r="O845" i="17" s="1"/>
  <c r="K845" i="17"/>
  <c r="I846" i="17"/>
  <c r="N846" i="17" s="1"/>
  <c r="J846" i="17"/>
  <c r="O846" i="17" s="1"/>
  <c r="K846" i="17"/>
  <c r="I847" i="17"/>
  <c r="N847" i="17" s="1"/>
  <c r="J847" i="17"/>
  <c r="O847" i="17" s="1"/>
  <c r="K847" i="17"/>
  <c r="I848" i="17"/>
  <c r="N848" i="17" s="1"/>
  <c r="J848" i="17"/>
  <c r="O848" i="17" s="1"/>
  <c r="K848" i="17"/>
  <c r="I849" i="17"/>
  <c r="N849" i="17" s="1"/>
  <c r="J849" i="17"/>
  <c r="O849" i="17" s="1"/>
  <c r="K849" i="17"/>
  <c r="I850" i="17"/>
  <c r="J850" i="17"/>
  <c r="O850" i="17" s="1"/>
  <c r="K850" i="17"/>
  <c r="I851" i="17"/>
  <c r="J851" i="17"/>
  <c r="O851" i="17" s="1"/>
  <c r="K851" i="17"/>
  <c r="I852" i="17"/>
  <c r="N852" i="17" s="1"/>
  <c r="J852" i="17"/>
  <c r="O852" i="17" s="1"/>
  <c r="K852" i="17"/>
  <c r="I853" i="17"/>
  <c r="N853" i="17" s="1"/>
  <c r="J853" i="17"/>
  <c r="O853" i="17" s="1"/>
  <c r="K853" i="17"/>
  <c r="I854" i="17"/>
  <c r="N854" i="17" s="1"/>
  <c r="J854" i="17"/>
  <c r="O854" i="17" s="1"/>
  <c r="K854" i="17"/>
  <c r="I855" i="17"/>
  <c r="N855" i="17" s="1"/>
  <c r="J855" i="17"/>
  <c r="O855" i="17" s="1"/>
  <c r="K855" i="17"/>
  <c r="I856" i="17"/>
  <c r="N856" i="17" s="1"/>
  <c r="J856" i="17"/>
  <c r="O856" i="17" s="1"/>
  <c r="K856" i="17"/>
  <c r="I857" i="17"/>
  <c r="N857" i="17" s="1"/>
  <c r="J857" i="17"/>
  <c r="O857" i="17" s="1"/>
  <c r="K857" i="17"/>
  <c r="I858" i="17"/>
  <c r="N858" i="17" s="1"/>
  <c r="J858" i="17"/>
  <c r="O858" i="17" s="1"/>
  <c r="K858" i="17"/>
  <c r="I859" i="17"/>
  <c r="N859" i="17" s="1"/>
  <c r="J859" i="17"/>
  <c r="O859" i="17" s="1"/>
  <c r="K859" i="17"/>
  <c r="I860" i="17"/>
  <c r="N860" i="17" s="1"/>
  <c r="J860" i="17"/>
  <c r="O860" i="17" s="1"/>
  <c r="K860" i="17"/>
  <c r="I861" i="17"/>
  <c r="N861" i="17" s="1"/>
  <c r="J861" i="17"/>
  <c r="O861" i="17" s="1"/>
  <c r="K861" i="17"/>
  <c r="I862" i="17"/>
  <c r="N862" i="17" s="1"/>
  <c r="J862" i="17"/>
  <c r="O862" i="17" s="1"/>
  <c r="K862" i="17"/>
  <c r="I863" i="17"/>
  <c r="N863" i="17" s="1"/>
  <c r="J863" i="17"/>
  <c r="O863" i="17" s="1"/>
  <c r="K863" i="17"/>
  <c r="I864" i="17"/>
  <c r="N864" i="17" s="1"/>
  <c r="J864" i="17"/>
  <c r="O864" i="17" s="1"/>
  <c r="K864" i="17"/>
  <c r="I865" i="17"/>
  <c r="N865" i="17" s="1"/>
  <c r="J865" i="17"/>
  <c r="O865" i="17" s="1"/>
  <c r="K865" i="17"/>
  <c r="I866" i="17"/>
  <c r="J866" i="17"/>
  <c r="O866" i="17" s="1"/>
  <c r="K866" i="17"/>
  <c r="I867" i="17"/>
  <c r="J867" i="17"/>
  <c r="O867" i="17" s="1"/>
  <c r="K867" i="17"/>
  <c r="I868" i="17"/>
  <c r="N868" i="17" s="1"/>
  <c r="J868" i="17"/>
  <c r="O868" i="17" s="1"/>
  <c r="K868" i="17"/>
  <c r="I869" i="17"/>
  <c r="N869" i="17" s="1"/>
  <c r="J869" i="17"/>
  <c r="O869" i="17" s="1"/>
  <c r="K869" i="17"/>
  <c r="I870" i="17"/>
  <c r="N870" i="17" s="1"/>
  <c r="J870" i="17"/>
  <c r="O870" i="17" s="1"/>
  <c r="K870" i="17"/>
  <c r="I871" i="17"/>
  <c r="N871" i="17" s="1"/>
  <c r="J871" i="17"/>
  <c r="O871" i="17" s="1"/>
  <c r="K871" i="17"/>
  <c r="I872" i="17"/>
  <c r="N872" i="17" s="1"/>
  <c r="J872" i="17"/>
  <c r="O872" i="17" s="1"/>
  <c r="K872" i="17"/>
  <c r="I873" i="17"/>
  <c r="N873" i="17" s="1"/>
  <c r="J873" i="17"/>
  <c r="O873" i="17" s="1"/>
  <c r="K873" i="17"/>
  <c r="I874" i="17"/>
  <c r="N874" i="17" s="1"/>
  <c r="J874" i="17"/>
  <c r="O874" i="17" s="1"/>
  <c r="K874" i="17"/>
  <c r="I875" i="17"/>
  <c r="N875" i="17" s="1"/>
  <c r="J875" i="17"/>
  <c r="O875" i="17" s="1"/>
  <c r="K875" i="17"/>
  <c r="I876" i="17"/>
  <c r="N876" i="17" s="1"/>
  <c r="J876" i="17"/>
  <c r="O876" i="17" s="1"/>
  <c r="K876" i="17"/>
  <c r="I877" i="17"/>
  <c r="N877" i="17" s="1"/>
  <c r="J877" i="17"/>
  <c r="O877" i="17" s="1"/>
  <c r="K877" i="17"/>
  <c r="I878" i="17"/>
  <c r="N878" i="17" s="1"/>
  <c r="J878" i="17"/>
  <c r="O878" i="17" s="1"/>
  <c r="K878" i="17"/>
  <c r="I879" i="17"/>
  <c r="N879" i="17" s="1"/>
  <c r="J879" i="17"/>
  <c r="O879" i="17" s="1"/>
  <c r="K879" i="17"/>
  <c r="I880" i="17"/>
  <c r="N880" i="17" s="1"/>
  <c r="J880" i="17"/>
  <c r="O880" i="17" s="1"/>
  <c r="K880" i="17"/>
  <c r="I881" i="17"/>
  <c r="N881" i="17" s="1"/>
  <c r="J881" i="17"/>
  <c r="O881" i="17" s="1"/>
  <c r="K881" i="17"/>
  <c r="I882" i="17"/>
  <c r="N882" i="17" s="1"/>
  <c r="J882" i="17"/>
  <c r="O882" i="17" s="1"/>
  <c r="K882" i="17"/>
  <c r="I883" i="17"/>
  <c r="N883" i="17" s="1"/>
  <c r="J883" i="17"/>
  <c r="O883" i="17" s="1"/>
  <c r="K883" i="17"/>
  <c r="I884" i="17"/>
  <c r="N884" i="17" s="1"/>
  <c r="J884" i="17"/>
  <c r="O884" i="17" s="1"/>
  <c r="K884" i="17"/>
  <c r="I885" i="17"/>
  <c r="N885" i="17" s="1"/>
  <c r="J885" i="17"/>
  <c r="O885" i="17" s="1"/>
  <c r="K885" i="17"/>
  <c r="I886" i="17"/>
  <c r="J886" i="17"/>
  <c r="O886" i="17" s="1"/>
  <c r="K886" i="17"/>
  <c r="I887" i="17"/>
  <c r="J887" i="17"/>
  <c r="O887" i="17" s="1"/>
  <c r="K887" i="17"/>
  <c r="I888" i="17"/>
  <c r="N888" i="17" s="1"/>
  <c r="J888" i="17"/>
  <c r="O888" i="17" s="1"/>
  <c r="K888" i="17"/>
  <c r="I889" i="17"/>
  <c r="N889" i="17" s="1"/>
  <c r="J889" i="17"/>
  <c r="O889" i="17" s="1"/>
  <c r="K889" i="17"/>
  <c r="I890" i="17"/>
  <c r="N890" i="17" s="1"/>
  <c r="J890" i="17"/>
  <c r="O890" i="17" s="1"/>
  <c r="K890" i="17"/>
  <c r="I891" i="17"/>
  <c r="N891" i="17" s="1"/>
  <c r="J891" i="17"/>
  <c r="O891" i="17" s="1"/>
  <c r="K891" i="17"/>
  <c r="I892" i="17"/>
  <c r="N892" i="17" s="1"/>
  <c r="J892" i="17"/>
  <c r="O892" i="17" s="1"/>
  <c r="K892" i="17"/>
  <c r="I893" i="17"/>
  <c r="N893" i="17" s="1"/>
  <c r="J893" i="17"/>
  <c r="O893" i="17" s="1"/>
  <c r="K893" i="17"/>
  <c r="I894" i="17"/>
  <c r="N894" i="17" s="1"/>
  <c r="J894" i="17"/>
  <c r="O894" i="17" s="1"/>
  <c r="K894" i="17"/>
  <c r="I895" i="17"/>
  <c r="N895" i="17" s="1"/>
  <c r="J895" i="17"/>
  <c r="O895" i="17" s="1"/>
  <c r="K895" i="17"/>
  <c r="I896" i="17"/>
  <c r="N896" i="17" s="1"/>
  <c r="J896" i="17"/>
  <c r="O896" i="17" s="1"/>
  <c r="K896" i="17"/>
  <c r="I897" i="17"/>
  <c r="N897" i="17" s="1"/>
  <c r="J897" i="17"/>
  <c r="O897" i="17" s="1"/>
  <c r="K897" i="17"/>
  <c r="I898" i="17"/>
  <c r="N898" i="17" s="1"/>
  <c r="J898" i="17"/>
  <c r="O898" i="17" s="1"/>
  <c r="K898" i="17"/>
  <c r="I899" i="17"/>
  <c r="N899" i="17" s="1"/>
  <c r="J899" i="17"/>
  <c r="O899" i="17" s="1"/>
  <c r="K899" i="17"/>
  <c r="I900" i="17"/>
  <c r="N900" i="17" s="1"/>
  <c r="J900" i="17"/>
  <c r="O900" i="17" s="1"/>
  <c r="K900" i="17"/>
  <c r="I901" i="17"/>
  <c r="N901" i="17" s="1"/>
  <c r="J901" i="17"/>
  <c r="O901" i="17" s="1"/>
  <c r="K901" i="17"/>
  <c r="I902" i="17"/>
  <c r="J902" i="17"/>
  <c r="O902" i="17" s="1"/>
  <c r="K902" i="17"/>
  <c r="I903" i="17"/>
  <c r="J903" i="17"/>
  <c r="O903" i="17" s="1"/>
  <c r="K903" i="17"/>
  <c r="I904" i="17"/>
  <c r="N904" i="17" s="1"/>
  <c r="J904" i="17"/>
  <c r="O904" i="17" s="1"/>
  <c r="K904" i="17"/>
  <c r="I905" i="17"/>
  <c r="N905" i="17" s="1"/>
  <c r="J905" i="17"/>
  <c r="O905" i="17" s="1"/>
  <c r="K905" i="17"/>
  <c r="I906" i="17"/>
  <c r="N906" i="17" s="1"/>
  <c r="J906" i="17"/>
  <c r="O906" i="17" s="1"/>
  <c r="K906" i="17"/>
  <c r="I907" i="17"/>
  <c r="N907" i="17" s="1"/>
  <c r="J907" i="17"/>
  <c r="O907" i="17" s="1"/>
  <c r="K907" i="17"/>
  <c r="I908" i="17"/>
  <c r="N908" i="17" s="1"/>
  <c r="J908" i="17"/>
  <c r="O908" i="17" s="1"/>
  <c r="K908" i="17"/>
  <c r="I909" i="17"/>
  <c r="N909" i="17" s="1"/>
  <c r="J909" i="17"/>
  <c r="O909" i="17" s="1"/>
  <c r="K909" i="17"/>
  <c r="I910" i="17"/>
  <c r="N910" i="17" s="1"/>
  <c r="J910" i="17"/>
  <c r="O910" i="17" s="1"/>
  <c r="K910" i="17"/>
  <c r="I911" i="17"/>
  <c r="N911" i="17" s="1"/>
  <c r="J911" i="17"/>
  <c r="O911" i="17" s="1"/>
  <c r="K911" i="17"/>
  <c r="I912" i="17"/>
  <c r="N912" i="17" s="1"/>
  <c r="J912" i="17"/>
  <c r="O912" i="17" s="1"/>
  <c r="K912" i="17"/>
  <c r="I913" i="17"/>
  <c r="N913" i="17" s="1"/>
  <c r="J913" i="17"/>
  <c r="O913" i="17" s="1"/>
  <c r="K913" i="17"/>
  <c r="I914" i="17"/>
  <c r="N914" i="17" s="1"/>
  <c r="J914" i="17"/>
  <c r="O914" i="17" s="1"/>
  <c r="K914" i="17"/>
  <c r="I915" i="17"/>
  <c r="N915" i="17" s="1"/>
  <c r="J915" i="17"/>
  <c r="O915" i="17" s="1"/>
  <c r="K915" i="17"/>
  <c r="I916" i="17"/>
  <c r="N916" i="17" s="1"/>
  <c r="J916" i="17"/>
  <c r="O916" i="17" s="1"/>
  <c r="K916" i="17"/>
  <c r="I917" i="17"/>
  <c r="J917" i="17"/>
  <c r="O917" i="17" s="1"/>
  <c r="K917" i="17"/>
  <c r="I918" i="17"/>
  <c r="N918" i="17" s="1"/>
  <c r="J918" i="17"/>
  <c r="O918" i="17" s="1"/>
  <c r="K918" i="17"/>
  <c r="I919" i="17"/>
  <c r="J919" i="17"/>
  <c r="O919" i="17" s="1"/>
  <c r="K919" i="17"/>
  <c r="I920" i="17"/>
  <c r="N920" i="17" s="1"/>
  <c r="J920" i="17"/>
  <c r="O920" i="17" s="1"/>
  <c r="K920" i="17"/>
  <c r="I921" i="17"/>
  <c r="N921" i="17" s="1"/>
  <c r="J921" i="17"/>
  <c r="O921" i="17" s="1"/>
  <c r="K921" i="17"/>
  <c r="I922" i="17"/>
  <c r="N922" i="17" s="1"/>
  <c r="J922" i="17"/>
  <c r="O922" i="17" s="1"/>
  <c r="K922" i="17"/>
  <c r="I923" i="17"/>
  <c r="N923" i="17" s="1"/>
  <c r="J923" i="17"/>
  <c r="O923" i="17" s="1"/>
  <c r="K923" i="17"/>
  <c r="I924" i="17"/>
  <c r="N924" i="17" s="1"/>
  <c r="J924" i="17"/>
  <c r="O924" i="17" s="1"/>
  <c r="K924" i="17"/>
  <c r="I925" i="17"/>
  <c r="N925" i="17" s="1"/>
  <c r="J925" i="17"/>
  <c r="O925" i="17" s="1"/>
  <c r="K925" i="17"/>
  <c r="I926" i="17"/>
  <c r="N926" i="17" s="1"/>
  <c r="J926" i="17"/>
  <c r="O926" i="17" s="1"/>
  <c r="K926" i="17"/>
  <c r="I927" i="17"/>
  <c r="N927" i="17" s="1"/>
  <c r="J927" i="17"/>
  <c r="O927" i="17" s="1"/>
  <c r="K927" i="17"/>
  <c r="I928" i="17"/>
  <c r="N928" i="17" s="1"/>
  <c r="J928" i="17"/>
  <c r="O928" i="17" s="1"/>
  <c r="K928" i="17"/>
  <c r="I929" i="17"/>
  <c r="N929" i="17" s="1"/>
  <c r="J929" i="17"/>
  <c r="O929" i="17" s="1"/>
  <c r="K929" i="17"/>
  <c r="I930" i="17"/>
  <c r="N930" i="17" s="1"/>
  <c r="J930" i="17"/>
  <c r="K930" i="17"/>
  <c r="I931" i="17"/>
  <c r="J931" i="17"/>
  <c r="O931" i="17" s="1"/>
  <c r="K931" i="17"/>
  <c r="I932" i="17"/>
  <c r="J932" i="17"/>
  <c r="K932" i="17"/>
  <c r="I933" i="17"/>
  <c r="N933" i="17" s="1"/>
  <c r="J933" i="17"/>
  <c r="O933" i="17" s="1"/>
  <c r="K933" i="17"/>
  <c r="I934" i="17"/>
  <c r="N934" i="17" s="1"/>
  <c r="J934" i="17"/>
  <c r="O934" i="17" s="1"/>
  <c r="K934" i="17"/>
  <c r="I935" i="17"/>
  <c r="N935" i="17" s="1"/>
  <c r="J935" i="17"/>
  <c r="O935" i="17" s="1"/>
  <c r="K935" i="17"/>
  <c r="I936" i="17"/>
  <c r="N936" i="17" s="1"/>
  <c r="J936" i="17"/>
  <c r="O936" i="17" s="1"/>
  <c r="K936" i="17"/>
  <c r="I937" i="17"/>
  <c r="N937" i="17" s="1"/>
  <c r="J937" i="17"/>
  <c r="O937" i="17" s="1"/>
  <c r="K937" i="17"/>
  <c r="I938" i="17"/>
  <c r="N938" i="17" s="1"/>
  <c r="J938" i="17"/>
  <c r="O938" i="17" s="1"/>
  <c r="K938" i="17"/>
  <c r="I939" i="17"/>
  <c r="N939" i="17" s="1"/>
  <c r="J939" i="17"/>
  <c r="O939" i="17" s="1"/>
  <c r="K939" i="17"/>
  <c r="I940" i="17"/>
  <c r="N940" i="17" s="1"/>
  <c r="J940" i="17"/>
  <c r="O940" i="17" s="1"/>
  <c r="K940" i="17"/>
  <c r="I941" i="17"/>
  <c r="N941" i="17" s="1"/>
  <c r="J941" i="17"/>
  <c r="O941" i="17" s="1"/>
  <c r="K941" i="17"/>
  <c r="I942" i="17"/>
  <c r="N942" i="17" s="1"/>
  <c r="J942" i="17"/>
  <c r="O942" i="17" s="1"/>
  <c r="K942" i="17"/>
  <c r="I943" i="17"/>
  <c r="N943" i="17" s="1"/>
  <c r="J943" i="17"/>
  <c r="O943" i="17" s="1"/>
  <c r="K943" i="17"/>
  <c r="I944" i="17"/>
  <c r="J944" i="17"/>
  <c r="O944" i="17" s="1"/>
  <c r="K944" i="17"/>
  <c r="I945" i="17"/>
  <c r="J945" i="17"/>
  <c r="O945" i="17" s="1"/>
  <c r="K945" i="17"/>
  <c r="I946" i="17"/>
  <c r="N946" i="17" s="1"/>
  <c r="J946" i="17"/>
  <c r="O946" i="17" s="1"/>
  <c r="K946" i="17"/>
  <c r="I947" i="17"/>
  <c r="N947" i="17" s="1"/>
  <c r="J947" i="17"/>
  <c r="O947" i="17" s="1"/>
  <c r="K947" i="17"/>
  <c r="I948" i="17"/>
  <c r="N948" i="17" s="1"/>
  <c r="J948" i="17"/>
  <c r="O948" i="17" s="1"/>
  <c r="K948" i="17"/>
  <c r="I949" i="17"/>
  <c r="N949" i="17" s="1"/>
  <c r="J949" i="17"/>
  <c r="O949" i="17" s="1"/>
  <c r="K949" i="17"/>
  <c r="I950" i="17"/>
  <c r="N950" i="17" s="1"/>
  <c r="J950" i="17"/>
  <c r="O950" i="17" s="1"/>
  <c r="K950" i="17"/>
  <c r="I951" i="17"/>
  <c r="N951" i="17" s="1"/>
  <c r="J951" i="17"/>
  <c r="O951" i="17" s="1"/>
  <c r="K951" i="17"/>
  <c r="I952" i="17"/>
  <c r="N952" i="17" s="1"/>
  <c r="J952" i="17"/>
  <c r="O952" i="17" s="1"/>
  <c r="K952" i="17"/>
  <c r="I953" i="17"/>
  <c r="N953" i="17" s="1"/>
  <c r="J953" i="17"/>
  <c r="O953" i="17" s="1"/>
  <c r="K953" i="17"/>
  <c r="I954" i="17"/>
  <c r="N954" i="17" s="1"/>
  <c r="J954" i="17"/>
  <c r="O954" i="17" s="1"/>
  <c r="K954" i="17"/>
  <c r="I955" i="17"/>
  <c r="N955" i="17" s="1"/>
  <c r="J955" i="17"/>
  <c r="O955" i="17" s="1"/>
  <c r="K955" i="17"/>
  <c r="I956" i="17"/>
  <c r="N956" i="17" s="1"/>
  <c r="J956" i="17"/>
  <c r="O956" i="17" s="1"/>
  <c r="K956" i="17"/>
  <c r="I957" i="17"/>
  <c r="J957" i="17"/>
  <c r="O957" i="17" s="1"/>
  <c r="K957" i="17"/>
  <c r="I958" i="17"/>
  <c r="J958" i="17"/>
  <c r="O958" i="17" s="1"/>
  <c r="K958" i="17"/>
  <c r="I959" i="17"/>
  <c r="N959" i="17" s="1"/>
  <c r="J959" i="17"/>
  <c r="O959" i="17" s="1"/>
  <c r="K959" i="17"/>
  <c r="I960" i="17"/>
  <c r="N960" i="17" s="1"/>
  <c r="J960" i="17"/>
  <c r="O960" i="17" s="1"/>
  <c r="K960" i="17"/>
  <c r="I961" i="17"/>
  <c r="N961" i="17" s="1"/>
  <c r="J961" i="17"/>
  <c r="O961" i="17" s="1"/>
  <c r="K961" i="17"/>
  <c r="I962" i="17"/>
  <c r="N962" i="17" s="1"/>
  <c r="J962" i="17"/>
  <c r="O962" i="17" s="1"/>
  <c r="K962" i="17"/>
  <c r="I963" i="17"/>
  <c r="N963" i="17" s="1"/>
  <c r="J963" i="17"/>
  <c r="O963" i="17" s="1"/>
  <c r="K963" i="17"/>
  <c r="I964" i="17"/>
  <c r="N964" i="17" s="1"/>
  <c r="J964" i="17"/>
  <c r="O964" i="17" s="1"/>
  <c r="K964" i="17"/>
  <c r="I965" i="17"/>
  <c r="N965" i="17" s="1"/>
  <c r="J965" i="17"/>
  <c r="O965" i="17" s="1"/>
  <c r="K965" i="17"/>
  <c r="I966" i="17"/>
  <c r="N966" i="17" s="1"/>
  <c r="J966" i="17"/>
  <c r="O966" i="17" s="1"/>
  <c r="K966" i="17"/>
  <c r="I967" i="17"/>
  <c r="N967" i="17" s="1"/>
  <c r="J967" i="17"/>
  <c r="O967" i="17" s="1"/>
  <c r="K967" i="17"/>
  <c r="I968" i="17"/>
  <c r="N968" i="17" s="1"/>
  <c r="J968" i="17"/>
  <c r="O968" i="17" s="1"/>
  <c r="K968" i="17"/>
  <c r="I969" i="17"/>
  <c r="N969" i="17" s="1"/>
  <c r="J969" i="17"/>
  <c r="O969" i="17" s="1"/>
  <c r="K969" i="17"/>
  <c r="I970" i="17"/>
  <c r="J970" i="17"/>
  <c r="O970" i="17" s="1"/>
  <c r="K970" i="17"/>
  <c r="I971" i="17"/>
  <c r="J971" i="17"/>
  <c r="O971" i="17" s="1"/>
  <c r="K971" i="17"/>
  <c r="I972" i="17"/>
  <c r="N972" i="17" s="1"/>
  <c r="J972" i="17"/>
  <c r="O972" i="17" s="1"/>
  <c r="K972" i="17"/>
  <c r="I973" i="17"/>
  <c r="N973" i="17" s="1"/>
  <c r="J973" i="17"/>
  <c r="O973" i="17" s="1"/>
  <c r="K973" i="17"/>
  <c r="I974" i="17"/>
  <c r="N974" i="17" s="1"/>
  <c r="J974" i="17"/>
  <c r="O974" i="17" s="1"/>
  <c r="K974" i="17"/>
  <c r="I975" i="17"/>
  <c r="N975" i="17" s="1"/>
  <c r="J975" i="17"/>
  <c r="O975" i="17" s="1"/>
  <c r="K975" i="17"/>
  <c r="I976" i="17"/>
  <c r="N976" i="17" s="1"/>
  <c r="J976" i="17"/>
  <c r="O976" i="17" s="1"/>
  <c r="K976" i="17"/>
  <c r="I977" i="17"/>
  <c r="N977" i="17" s="1"/>
  <c r="J977" i="17"/>
  <c r="O977" i="17" s="1"/>
  <c r="K977" i="17"/>
  <c r="I978" i="17"/>
  <c r="N978" i="17" s="1"/>
  <c r="J978" i="17"/>
  <c r="O978" i="17" s="1"/>
  <c r="K978" i="17"/>
  <c r="I979" i="17"/>
  <c r="N979" i="17" s="1"/>
  <c r="J979" i="17"/>
  <c r="O979" i="17" s="1"/>
  <c r="K979" i="17"/>
  <c r="I980" i="17"/>
  <c r="N980" i="17" s="1"/>
  <c r="J980" i="17"/>
  <c r="O980" i="17" s="1"/>
  <c r="K980" i="17"/>
  <c r="I981" i="17"/>
  <c r="N981" i="17" s="1"/>
  <c r="J981" i="17"/>
  <c r="O981" i="17" s="1"/>
  <c r="K981" i="17"/>
  <c r="I982" i="17"/>
  <c r="N982" i="17" s="1"/>
  <c r="J982" i="17"/>
  <c r="O982" i="17" s="1"/>
  <c r="K982" i="17"/>
  <c r="I983" i="17"/>
  <c r="J983" i="17"/>
  <c r="O983" i="17" s="1"/>
  <c r="K983" i="17"/>
  <c r="I984" i="17"/>
  <c r="J984" i="17"/>
  <c r="O984" i="17" s="1"/>
  <c r="K984" i="17"/>
  <c r="I985" i="17"/>
  <c r="N985" i="17" s="1"/>
  <c r="J985" i="17"/>
  <c r="O985" i="17" s="1"/>
  <c r="K985" i="17"/>
  <c r="I986" i="17"/>
  <c r="N986" i="17" s="1"/>
  <c r="J986" i="17"/>
  <c r="O986" i="17" s="1"/>
  <c r="K986" i="17"/>
  <c r="I987" i="17"/>
  <c r="N987" i="17" s="1"/>
  <c r="J987" i="17"/>
  <c r="O987" i="17" s="1"/>
  <c r="K987" i="17"/>
  <c r="I988" i="17"/>
  <c r="N988" i="17" s="1"/>
  <c r="J988" i="17"/>
  <c r="O988" i="17" s="1"/>
  <c r="K988" i="17"/>
  <c r="I989" i="17"/>
  <c r="N989" i="17" s="1"/>
  <c r="J989" i="17"/>
  <c r="O989" i="17" s="1"/>
  <c r="K989" i="17"/>
  <c r="I990" i="17"/>
  <c r="N990" i="17" s="1"/>
  <c r="J990" i="17"/>
  <c r="O990" i="17" s="1"/>
  <c r="K990" i="17"/>
  <c r="I991" i="17"/>
  <c r="N991" i="17" s="1"/>
  <c r="J991" i="17"/>
  <c r="O991" i="17" s="1"/>
  <c r="K991" i="17"/>
  <c r="I992" i="17"/>
  <c r="N992" i="17" s="1"/>
  <c r="J992" i="17"/>
  <c r="O992" i="17" s="1"/>
  <c r="K992" i="17"/>
  <c r="I993" i="17"/>
  <c r="N993" i="17" s="1"/>
  <c r="J993" i="17"/>
  <c r="O993" i="17" s="1"/>
  <c r="K993" i="17"/>
  <c r="I994" i="17"/>
  <c r="N994" i="17" s="1"/>
  <c r="J994" i="17"/>
  <c r="O994" i="17" s="1"/>
  <c r="K994" i="17"/>
  <c r="I995" i="17"/>
  <c r="N995" i="17" s="1"/>
  <c r="J995" i="17"/>
  <c r="O995" i="17" s="1"/>
  <c r="K995" i="17"/>
  <c r="I996" i="17"/>
  <c r="J996" i="17"/>
  <c r="O996" i="17" s="1"/>
  <c r="K996" i="17"/>
  <c r="I997" i="17"/>
  <c r="J997" i="17"/>
  <c r="O997" i="17" s="1"/>
  <c r="K997" i="17"/>
  <c r="I998" i="17"/>
  <c r="N998" i="17" s="1"/>
  <c r="J998" i="17"/>
  <c r="O998" i="17" s="1"/>
  <c r="K998" i="17"/>
  <c r="I999" i="17"/>
  <c r="N999" i="17" s="1"/>
  <c r="J999" i="17"/>
  <c r="O999" i="17" s="1"/>
  <c r="K999" i="17"/>
  <c r="I1000" i="17"/>
  <c r="N1000" i="17" s="1"/>
  <c r="J1000" i="17"/>
  <c r="O1000" i="17" s="1"/>
  <c r="K1000" i="17"/>
  <c r="I1001" i="17"/>
  <c r="N1001" i="17" s="1"/>
  <c r="J1001" i="17"/>
  <c r="O1001" i="17" s="1"/>
  <c r="K1001" i="17"/>
  <c r="K2" i="17"/>
  <c r="L2" i="17"/>
  <c r="M2" i="17" s="1"/>
  <c r="H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5" i="17"/>
  <c r="G3" i="17"/>
  <c r="G4"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<sst xmlns="http://schemas.openxmlformats.org/spreadsheetml/2006/main" count="11128" uniqueCount="6221">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</sst>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5" formatCode="&quot;$&quot;#,##0_);\(&quot;$&quot;#,##0\)"/>
    <numFmt numFmtId="164" formatCode="0.0"/>
    <numFmt numFmtId="166" formatCode="dd\-mmm\-yyyy"/>
    <numFmt numFmtId="167" formatCode="0.0\ &quot;kg&quot;"/>
    <numFmt numFmtId="168" formatCode="_([$$-409]* #,##0.00_);_([$$-409]* \(#,##0.00\);_([$$-409]* &quot;-&quot;??_);_(@_)"/>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7" fontId="0" fillId="0" borderId="0" xfId="0" applyNumberFormat="1"/>
    <xf numFmtId="168" fontId="0" fillId="0" borderId="0" xfId="0" applyNumberFormat="1"/>
    <xf numFmtId="0" fontId="0" fillId="0" borderId="0" xfId="0" pivotButton="1"/>
    <xf numFmtId="37" fontId="0" fillId="0" borderId="0" xfId="0" applyNumberFormat="1"/>
    <xf numFmtId="5" fontId="0" fillId="0" borderId="0" xfId="0" applyNumberFormat="1"/>
  </cellXfs>
  <cellStyles count="1">
    <cellStyle name="Normal" xfId="0" builtinId="0"/>
  </cellStyles>
  <dxfs count="16">
    <dxf>
      <font>
        <b/>
        <i val="0"/>
        <color theme="0"/>
        <name val="Calibri"/>
        <family val="2"/>
        <scheme val="minor"/>
      </font>
      <border diagonalUp="0" diagonalDown="0">
        <left style="thin">
          <color auto="1"/>
        </left>
        <right style="thin">
          <color auto="1"/>
        </right>
        <top style="thin">
          <color auto="1"/>
        </top>
        <bottom style="thin">
          <color auto="1"/>
        </bottom>
        <vertical/>
        <horizontal/>
      </border>
    </dxf>
    <dxf>
      <font>
        <b val="0"/>
        <i val="0"/>
        <color theme="0"/>
        <name val="Calibri"/>
        <family val="2"/>
        <scheme val="minor"/>
      </font>
      <fill>
        <patternFill>
          <bgColor rgb="FF3C1464"/>
        </patternFill>
      </fill>
      <border diagonalUp="1" diagonalDown="0">
        <left style="thin">
          <color theme="0"/>
        </left>
        <right style="thin">
          <color theme="0"/>
        </right>
        <top style="thin">
          <color theme="0"/>
        </top>
        <bottom style="thin">
          <color theme="0"/>
        </bottom>
        <diagonal style="thin">
          <color auto="1"/>
        </diagonal>
        <vertical/>
        <horizontal/>
      </border>
    </dxf>
    <dxf>
      <numFmt numFmtId="0" formatCode="General"/>
    </dxf>
    <dxf>
      <font>
        <b/>
        <i val="0"/>
        <sz val="11"/>
        <color theme="0"/>
        <name val="Calibri"/>
        <family val="2"/>
        <scheme val="minor"/>
      </font>
    </dxf>
    <dxf>
      <font>
        <b val="0"/>
        <i val="0"/>
        <sz val="11"/>
        <color theme="0"/>
        <name val="Calibri"/>
        <family val="2"/>
        <scheme val="minor"/>
      </font>
      <fill>
        <patternFill patternType="solid">
          <fgColor theme="0"/>
          <bgColor rgb="FF3C1464"/>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8" formatCode="_([$$-409]* #,##0.00_);_([$$-409]* \(#,##0.00\);_([$$-409]* &quot;-&quot;??_);_(@_)"/>
    </dxf>
    <dxf>
      <numFmt numFmtId="168" formatCode="_([$$-409]* #,##0.00_);_([$$-409]* \(#,##0.00\);_([$$-409]* &quot;-&quot;??_);_(@_)"/>
    </dxf>
    <dxf>
      <numFmt numFmtId="167"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Purple Slicer" pivot="0" table="0" count="7" xr9:uid="{C902ACDD-07A1-4FAF-BA7F-EDAE7EE74771}">
      <tableStyleElement type="wholeTable" dxfId="1"/>
      <tableStyleElement type="headerRow" dxfId="0"/>
    </tableStyle>
    <tableStyle name="Purple Timeline Style" pivot="0" table="0" count="8" xr9:uid="{7695ABCD-114A-4022-B7AD-47E30A528C01}">
      <tableStyleElement type="wholeTable" dxfId="4"/>
      <tableStyleElement type="headerRow" dxfId="3"/>
    </tableStyle>
  </tableStyles>
  <colors>
    <mruColors>
      <color rgb="FFFFFFFF"/>
      <color rgb="FF3C1464"/>
      <color rgb="FF8BFFBF"/>
      <color rgb="FF09FF78"/>
      <color rgb="FF007434"/>
      <color rgb="FFE0CBF5"/>
      <color rgb="FFE194F6"/>
      <color rgb="FFCE86EE"/>
      <color rgb="FF8AA7DA"/>
      <color rgb="FF66342C"/>
    </mruColors>
  </colors>
  <extLst>
    <ext xmlns:x14="http://schemas.microsoft.com/office/spreadsheetml/2009/9/main" uri="{46F421CA-312F-682f-3DD2-61675219B42D}">
      <x14:dxfs count="28">
        <dxf>
          <font>
            <b/>
            <i val="0"/>
            <name val="Calibri"/>
            <family val="2"/>
            <scheme val="minor"/>
          </font>
          <border>
            <left style="thin">
              <color theme="1"/>
            </left>
            <right style="thin">
              <color theme="1"/>
            </right>
            <top style="thin">
              <color theme="1"/>
            </top>
            <bottom style="thin">
              <color theme="1"/>
            </bottom>
          </border>
        </dxf>
        <dxf>
          <font>
            <b/>
            <i val="0"/>
            <color theme="0"/>
            <name val="Calibri"/>
            <family val="2"/>
            <scheme val="minor"/>
          </font>
          <border diagonalUp="0" diagonalDown="0">
            <left style="thin">
              <color auto="1"/>
            </left>
            <right style="thin">
              <color auto="1"/>
            </right>
            <top style="thin">
              <color auto="1"/>
            </top>
            <bottom style="thin">
              <color auto="1"/>
            </bottom>
            <vertical/>
            <horizontal/>
          </border>
        </dxf>
        <dxf>
          <font>
            <b/>
            <i val="0"/>
            <color theme="0"/>
            <name val="Calibri"/>
            <family val="2"/>
            <scheme val="minor"/>
          </font>
          <border diagonalUp="0" diagonalDown="1">
            <left style="thin">
              <color auto="1"/>
            </left>
            <right style="thin">
              <color auto="1"/>
            </right>
            <top style="thin">
              <color auto="1"/>
            </top>
            <bottom style="thin">
              <color auto="1"/>
            </bottom>
            <diagonal style="thin">
              <color auto="1"/>
            </diagonal>
            <vertical/>
            <horizontal/>
          </border>
        </dxf>
        <dxf>
          <font>
            <b val="0"/>
            <i val="0"/>
            <color theme="0" tint="-0.14996795556505021"/>
            <name val="Calibri"/>
            <family val="2"/>
            <scheme val="minor"/>
          </font>
          <border>
            <left style="thin">
              <color theme="0"/>
            </left>
            <right style="thin">
              <color theme="0"/>
            </right>
            <top style="thin">
              <color theme="0"/>
            </top>
            <bottom style="thin">
              <color theme="0"/>
            </bottom>
          </border>
        </dxf>
        <dxf>
          <font>
            <b val="0"/>
            <i val="0"/>
            <strike/>
            <color theme="0" tint="-0.14993743705557422"/>
            <name val="Calibri"/>
            <family val="2"/>
            <scheme val="minor"/>
          </font>
          <border diagonalUp="0" diagonalDown="0">
            <left style="thin">
              <color auto="1"/>
            </left>
            <right style="thin">
              <color auto="1"/>
            </right>
            <top style="thin">
              <color auto="1"/>
            </top>
            <bottom style="thin">
              <color auto="1"/>
            </bottom>
            <vertical/>
            <horizontal/>
          </border>
        </dxf>
        <dxf>
          <font>
            <b/>
            <i val="0"/>
            <name val="Calibri"/>
            <family val="2"/>
            <scheme val="minor"/>
          </font>
          <border>
            <left style="thin">
              <color theme="1"/>
            </left>
            <right style="thin">
              <color theme="1"/>
            </right>
            <top style="thin">
              <color theme="1"/>
            </top>
            <bottom style="thin">
              <color theme="1"/>
            </bottom>
          </border>
        </dxf>
        <dxf>
          <font>
            <b/>
            <i val="0"/>
            <color theme="0"/>
            <name val="Calibri"/>
            <family val="2"/>
            <scheme val="minor"/>
          </font>
          <border diagonalUp="0" diagonalDown="0">
            <left style="thin">
              <color auto="1"/>
            </left>
            <right style="thin">
              <color auto="1"/>
            </right>
            <top style="thin">
              <color auto="1"/>
            </top>
            <bottom style="thin">
              <color auto="1"/>
            </bottom>
            <vertical/>
            <horizontal/>
          </border>
        </dxf>
        <dxf>
          <font>
            <b/>
            <i val="0"/>
            <color theme="0"/>
            <name val="Calibri"/>
            <family val="2"/>
            <scheme val="minor"/>
          </font>
          <border diagonalUp="0" diagonalDown="1">
            <left style="thin">
              <color auto="1"/>
            </left>
            <right style="thin">
              <color auto="1"/>
            </right>
            <top style="thin">
              <color auto="1"/>
            </top>
            <bottom style="thin">
              <color auto="1"/>
            </bottom>
            <diagonal style="thin">
              <color auto="1"/>
            </diagonal>
            <vertical/>
            <horizontal/>
          </border>
        </dxf>
        <dxf>
          <font>
            <b val="0"/>
            <i val="0"/>
            <color theme="0" tint="-0.14996795556505021"/>
            <name val="Calibri"/>
            <family val="2"/>
            <scheme val="minor"/>
          </font>
          <border>
            <left style="thin">
              <color theme="0"/>
            </left>
            <right style="thin">
              <color theme="0"/>
            </right>
            <top style="thin">
              <color theme="0"/>
            </top>
            <bottom style="thin">
              <color theme="0"/>
            </bottom>
          </border>
        </dxf>
        <dxf>
          <font>
            <b val="0"/>
            <i val="0"/>
            <strike/>
            <color theme="0" tint="-0.14993743705557422"/>
            <name val="Calibri"/>
            <family val="2"/>
            <scheme val="minor"/>
          </font>
          <border diagonalUp="0" diagonalDown="0">
            <left style="thin">
              <color auto="1"/>
            </left>
            <right style="thin">
              <color auto="1"/>
            </right>
            <top style="thin">
              <color auto="1"/>
            </top>
            <bottom style="thin">
              <color auto="1"/>
            </bottom>
            <vertical/>
            <horizontal/>
          </border>
        </dxf>
        <dxf>
          <font>
            <b/>
            <i val="0"/>
            <name val="Calibri"/>
            <family val="2"/>
            <scheme val="minor"/>
          </font>
          <border>
            <left style="thin">
              <color theme="1"/>
            </left>
            <right style="thin">
              <color theme="1"/>
            </right>
            <top style="thin">
              <color theme="1"/>
            </top>
            <bottom style="thin">
              <color theme="1"/>
            </bottom>
          </border>
        </dxf>
        <dxf>
          <font>
            <b/>
            <i val="0"/>
            <color theme="0"/>
            <name val="Calibri"/>
            <family val="2"/>
            <scheme val="minor"/>
          </font>
          <border diagonalUp="0" diagonalDown="0">
            <left style="thin">
              <color auto="1"/>
            </left>
            <right style="thin">
              <color auto="1"/>
            </right>
            <top style="thin">
              <color auto="1"/>
            </top>
            <bottom style="thin">
              <color auto="1"/>
            </bottom>
            <vertical/>
            <horizontal/>
          </border>
        </dxf>
        <dxf>
          <font>
            <b/>
            <i val="0"/>
            <color theme="0"/>
            <name val="Calibri"/>
            <family val="2"/>
            <scheme val="minor"/>
          </font>
          <border diagonalUp="0" diagonalDown="1">
            <left style="thin">
              <color auto="1"/>
            </left>
            <right style="thin">
              <color auto="1"/>
            </right>
            <top style="thin">
              <color auto="1"/>
            </top>
            <bottom style="thin">
              <color auto="1"/>
            </bottom>
            <diagonal style="thin">
              <color auto="1"/>
            </diagonal>
            <vertical/>
            <horizontal/>
          </border>
        </dxf>
        <dxf>
          <font>
            <b val="0"/>
            <i val="0"/>
            <color theme="0" tint="-0.14996795556505021"/>
            <name val="Calibri"/>
            <family val="2"/>
            <scheme val="minor"/>
          </font>
          <border>
            <left style="thin">
              <color theme="0"/>
            </left>
            <right style="thin">
              <color theme="0"/>
            </right>
            <top style="thin">
              <color theme="0"/>
            </top>
            <bottom style="thin">
              <color theme="0"/>
            </bottom>
          </border>
        </dxf>
        <dxf>
          <font>
            <b val="0"/>
            <i val="0"/>
            <strike/>
            <color theme="0" tint="-0.14993743705557422"/>
            <name val="Calibri"/>
            <family val="2"/>
            <scheme val="minor"/>
          </font>
          <border diagonalUp="0" diagonalDown="0">
            <left/>
            <right/>
            <top/>
            <bottom/>
            <vertical/>
            <horizontal/>
          </border>
        </dxf>
        <dxf>
          <font>
            <b/>
            <i val="0"/>
            <name val="Calibri"/>
            <family val="2"/>
            <scheme val="minor"/>
          </font>
          <border>
            <left style="thin">
              <color theme="1"/>
            </left>
            <right style="thin">
              <color theme="1"/>
            </right>
            <top style="thin">
              <color theme="1"/>
            </top>
            <bottom style="thin">
              <color theme="1"/>
            </bottom>
          </border>
        </dxf>
        <dxf>
          <font>
            <b/>
            <i val="0"/>
            <color theme="0"/>
            <name val="Calibri"/>
            <family val="2"/>
            <scheme val="minor"/>
          </font>
          <border diagonalUp="0" diagonalDown="0">
            <left style="thin">
              <color auto="1"/>
            </left>
            <right style="thin">
              <color auto="1"/>
            </right>
            <top style="thin">
              <color auto="1"/>
            </top>
            <bottom style="thin">
              <color auto="1"/>
            </bottom>
            <vertical/>
            <horizontal/>
          </border>
        </dxf>
        <dxf>
          <font>
            <b/>
            <i val="0"/>
            <color theme="0"/>
            <name val="Calibri"/>
            <family val="2"/>
            <scheme val="minor"/>
          </font>
          <border diagonalUp="0" diagonalDown="1">
            <left style="thin">
              <color auto="1"/>
            </left>
            <right style="thin">
              <color auto="1"/>
            </right>
            <top style="thin">
              <color auto="1"/>
            </top>
            <bottom style="thin">
              <color auto="1"/>
            </bottom>
            <diagonal style="thin">
              <color auto="1"/>
            </diagonal>
            <vertical/>
            <horizontal/>
          </border>
        </dxf>
        <dxf>
          <font>
            <b val="0"/>
            <i val="0"/>
            <color theme="0" tint="-0.14996795556505021"/>
            <name val="Calibri"/>
            <family val="2"/>
            <scheme val="minor"/>
          </font>
          <border>
            <left style="thin">
              <color theme="0"/>
            </left>
            <right style="thin">
              <color theme="0"/>
            </right>
            <top style="thin">
              <color theme="0"/>
            </top>
            <bottom style="thin">
              <color theme="0"/>
            </bottom>
          </border>
        </dxf>
        <dxf>
          <font>
            <b val="0"/>
            <i val="0"/>
            <strike/>
            <color theme="0" tint="-0.14993743705557422"/>
            <name val="Calibri"/>
            <family val="2"/>
            <scheme val="minor"/>
          </font>
          <border diagonalUp="0" diagonalDown="0">
            <left style="thin">
              <color rgb="FFFFFFFF"/>
            </left>
            <right style="thin">
              <color rgb="FFFFFFFF"/>
            </right>
            <top style="thin">
              <color rgb="FFFFFFFF"/>
            </top>
            <bottom style="thin">
              <color rgb="FFFFFFFF"/>
            </bottom>
            <vertical/>
            <horizontal/>
          </border>
        </dxf>
        <dxf>
          <font>
            <b/>
            <i val="0"/>
            <color theme="0"/>
            <name val="Calibri"/>
            <family val="2"/>
            <scheme val="minor"/>
          </font>
          <border diagonalUp="0" diagonalDown="0">
            <left style="thin">
              <color auto="1"/>
            </left>
            <right style="thin">
              <color auto="1"/>
            </right>
            <top style="thin">
              <color auto="1"/>
            </top>
            <bottom style="thin">
              <color auto="1"/>
            </bottom>
            <vertical/>
            <horizontal/>
          </border>
        </dxf>
        <dxf>
          <font>
            <b/>
            <i val="0"/>
            <color theme="0"/>
            <name val="Calibri"/>
            <family val="2"/>
            <scheme val="minor"/>
          </font>
          <border diagonalUp="0" diagonalDown="1">
            <left style="thin">
              <color auto="1"/>
            </left>
            <right style="thin">
              <color auto="1"/>
            </right>
            <top style="thin">
              <color auto="1"/>
            </top>
            <bottom style="thin">
              <color auto="1"/>
            </bottom>
            <diagonal style="thin">
              <color auto="1"/>
            </diagonal>
            <vertical/>
            <horizontal/>
          </border>
        </dxf>
        <dxf>
          <font>
            <b val="0"/>
            <i val="0"/>
            <color theme="0" tint="-0.14996795556505021"/>
            <name val="Calibri"/>
            <family val="2"/>
            <scheme val="minor"/>
          </font>
          <border>
            <left style="thin">
              <color theme="0"/>
            </left>
            <right style="thin">
              <color theme="0"/>
            </right>
            <top style="thin">
              <color theme="0"/>
            </top>
            <bottom style="thin">
              <color theme="0"/>
            </bottom>
          </border>
        </dxf>
        <dxf>
          <font>
            <b val="0"/>
            <i val="0"/>
            <strike/>
            <color theme="0" tint="-0.14993743705557422"/>
            <name val="Calibri"/>
            <family val="2"/>
            <scheme val="minor"/>
          </font>
          <border diagonalUp="0" diagonalDown="0">
            <left style="thin">
              <color rgb="FFFFFFFF"/>
            </left>
            <right style="thin">
              <color rgb="FFFFFFFF"/>
            </right>
            <top style="thin">
              <color rgb="FFFFFFFF"/>
            </top>
            <bottom style="thin">
              <color rgb="FFFFFFFF"/>
            </bottom>
            <vertical/>
            <horizontal/>
          </border>
        </dxf>
        <dxf>
          <font>
            <b/>
            <i val="0"/>
            <color theme="0"/>
            <name val="Calibri"/>
            <family val="2"/>
            <scheme val="minor"/>
          </font>
          <border diagonalUp="0" diagonalDown="0">
            <left style="thin">
              <color auto="1"/>
            </left>
            <right style="thin">
              <color auto="1"/>
            </right>
            <top style="thin">
              <color auto="1"/>
            </top>
            <bottom style="thin">
              <color auto="1"/>
            </bottom>
            <vertical/>
            <horizontal/>
          </border>
        </dxf>
        <dxf>
          <font>
            <b/>
            <i val="0"/>
            <color theme="0"/>
            <name val="Calibri"/>
            <family val="2"/>
            <scheme val="minor"/>
          </font>
          <border diagonalUp="0" diagonalDown="1">
            <left style="thin">
              <color auto="1"/>
            </left>
            <right style="thin">
              <color auto="1"/>
            </right>
            <top style="thin">
              <color auto="1"/>
            </top>
            <bottom style="thin">
              <color auto="1"/>
            </bottom>
            <diagonal style="thin">
              <color auto="1"/>
            </diagonal>
            <vertical/>
            <horizontal/>
          </border>
        </dxf>
        <dxf>
          <font>
            <b val="0"/>
            <i val="0"/>
            <color theme="0" tint="-0.14996795556505021"/>
            <name val="Calibri"/>
            <family val="2"/>
            <scheme val="minor"/>
          </font>
          <border>
            <left style="thin">
              <color theme="0"/>
            </left>
            <right style="thin">
              <color theme="0"/>
            </right>
            <top style="thin">
              <color theme="0"/>
            </top>
            <bottom style="thin">
              <color theme="0"/>
            </bottom>
          </border>
        </dxf>
        <dxf>
          <font>
            <b val="0"/>
            <i val="0"/>
            <strike/>
            <color theme="0" tint="-0.14993743705557422"/>
            <name val="Calibri"/>
            <family val="2"/>
            <scheme val="minor"/>
          </font>
          <border diagonalUp="0" diagonalDown="0">
            <left style="thin">
              <color rgb="FFFFFFFF"/>
            </left>
            <right style="thin">
              <color rgb="FFFFFFFF"/>
            </right>
            <top style="thin">
              <color rgb="FFFFFFFF"/>
            </top>
            <bottom style="thin">
              <color rgb="FFFFFFFF"/>
            </bottom>
            <vertical/>
            <horizontal/>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A0A4C193-F2C1-4fcb-8827-314CF55A85BB}">
      <x15:dxfs count="6">
        <dxf>
          <fill>
            <patternFill patternType="solid">
              <fgColor theme="0" tint="-0.14993743705557422"/>
              <bgColor theme="0"/>
            </patternFill>
          </fill>
        </dxf>
        <dxf>
          <fill>
            <patternFill patternType="solid">
              <fgColor theme="0"/>
              <bgColor rgb="FFE194F6"/>
            </patternFill>
          </fill>
        </dxf>
        <dxf>
          <font>
            <b/>
            <i val="0"/>
            <sz val="9"/>
            <color theme="0"/>
            <name val="Calibri"/>
            <family val="2"/>
            <scheme val="minor"/>
          </font>
        </dxf>
        <dxf>
          <font>
            <b val="0"/>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[Coffee_Orders_Project.xlsx]TotalSales!TotalSales</c:name>
    <c:fmtId val="16"/>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563A-47E6-8C11-149036DB605A}"/>
            </c:ext>
          </c:extLst>
        </c:ser>
        <c:ser>
          <c:idx val="1"/>
          <c:order val="1"/>
          <c:tx>
            <c:strRef>
              <c:f>TotalSales!$D$3:$D$4</c:f>
              <c:strCache>
                <c:ptCount val="1"/>
                <c:pt idx="0">
                  <c:v>Excelsa</c:v>
                </c:pt>
              </c:strCache>
            </c:strRef>
          </c:tx>
          <c:spPr>
            <a:ln w="28575" cap="rnd">
              <a:solidFill>
                <a:schemeClr val="accent2"/>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563A-47E6-8C11-149036DB605A}"/>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563A-47E6-8C11-149036DB605A}"/>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563A-47E6-8C11-149036DB605A}"/>
            </c:ext>
          </c:extLst>
        </c:ser>
        <c:dLbls>
          <c:showLegendKey val="0"/>
          <c:showVal val="0"/>
          <c:showCatName val="0"/>
          <c:showSerName val="0"/>
          <c:showPercent val="0"/>
          <c:showBubbleSize val="0"/>
        </c:dLbls>
        <c:smooth val="0"/>
        <c:axId val="1089850528"/>
        <c:axId val="1089860128"/>
      </c:lineChart>
      <c:catAx>
        <c:axId val="1089850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089860128"/>
        <c:crosses val="autoZero"/>
        <c:auto val="1"/>
        <c:lblAlgn val="ctr"/>
        <c:lblOffset val="100"/>
        <c:noMultiLvlLbl val="0"/>
      </c:catAx>
      <c:valAx>
        <c:axId val="1089860128"/>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089850528"/>
        <c:crosses val="autoZero"/>
        <c:crossBetween val="between"/>
      </c:valAx>
      <c:spPr>
        <a:solidFill>
          <a:srgbClr val="E0CBF5"/>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[Coffee_Orders_Project.xlsx]CountryBarChart!TotalSales</c:name>
    <c:fmtId val="22"/>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rgbClr val="FFFFFF"/>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434"/>
          </a:solidFill>
          <a:ln w="25400">
            <a:solidFill>
              <a:srgbClr val="FFFFFF"/>
            </a:solidFill>
          </a:ln>
          <a:effectLst/>
        </c:spPr>
      </c:pivotFmt>
      <c:pivotFmt>
        <c:idx val="2"/>
        <c:spPr>
          <a:solidFill>
            <a:srgbClr val="09FF78"/>
          </a:solidFill>
          <a:ln w="25400">
            <a:solidFill>
              <a:srgbClr val="FFFFFF"/>
            </a:solidFill>
          </a:ln>
          <a:effectLst/>
        </c:spPr>
      </c:pivotFmt>
      <c:pivotFmt>
        <c:idx val="3"/>
        <c:spPr>
          <a:solidFill>
            <a:srgbClr val="8BFFBF"/>
          </a:solidFill>
          <a:ln w="25400">
            <a:solidFill>
              <a:srgbClr val="FFFFFF"/>
            </a:solidFill>
          </a:ln>
          <a:effectLst/>
        </c:spPr>
      </c:pivotFmt>
      <c:pivotFmt>
        <c:idx val="4"/>
        <c:spPr>
          <a:solidFill>
            <a:srgbClr val="00B050"/>
          </a:solidFill>
          <a:ln w="25400">
            <a:solidFill>
              <a:srgbClr val="FFFFFF"/>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BFFBF"/>
          </a:solidFill>
          <a:ln w="25400">
            <a:solidFill>
              <a:srgbClr val="FFFFFF"/>
            </a:solidFill>
          </a:ln>
          <a:effectLst/>
        </c:spPr>
      </c:pivotFmt>
      <c:pivotFmt>
        <c:idx val="6"/>
        <c:spPr>
          <a:solidFill>
            <a:srgbClr val="09FF78"/>
          </a:solidFill>
          <a:ln w="25400">
            <a:solidFill>
              <a:srgbClr val="FFFFFF"/>
            </a:solidFill>
          </a:ln>
          <a:effectLst/>
        </c:spPr>
      </c:pivotFmt>
      <c:pivotFmt>
        <c:idx val="7"/>
        <c:spPr>
          <a:solidFill>
            <a:srgbClr val="007434"/>
          </a:solidFill>
          <a:ln w="25400">
            <a:solidFill>
              <a:srgbClr val="FFFFFF"/>
            </a:solidFill>
          </a:ln>
          <a:effectLst/>
        </c:spPr>
      </c:pivotFmt>
      <c:pivotFmt>
        <c:idx val="8"/>
        <c:spPr>
          <a:solidFill>
            <a:srgbClr val="00B050"/>
          </a:solidFill>
          <a:ln w="25400">
            <a:solidFill>
              <a:srgbClr val="FFFFFF"/>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8BFFBF"/>
          </a:solidFill>
          <a:ln w="25400">
            <a:solidFill>
              <a:srgbClr val="FFFFFF"/>
            </a:solidFill>
          </a:ln>
          <a:effectLst/>
        </c:spPr>
      </c:pivotFmt>
      <c:pivotFmt>
        <c:idx val="10"/>
        <c:spPr>
          <a:solidFill>
            <a:srgbClr val="09FF78"/>
          </a:solidFill>
          <a:ln w="25400">
            <a:solidFill>
              <a:srgbClr val="FFFFFF"/>
            </a:solidFill>
          </a:ln>
          <a:effectLst/>
        </c:spPr>
      </c:pivotFmt>
      <c:pivotFmt>
        <c:idx val="11"/>
        <c:spPr>
          <a:solidFill>
            <a:srgbClr val="007434"/>
          </a:solidFill>
          <a:ln w="25400">
            <a:solidFill>
              <a:srgbClr val="FFFFFF"/>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rgbClr val="FFFFFF"/>
              </a:solidFill>
            </a:ln>
            <a:effectLst/>
          </c:spPr>
          <c:invertIfNegative val="0"/>
          <c:dPt>
            <c:idx val="0"/>
            <c:invertIfNegative val="0"/>
            <c:bubble3D val="0"/>
            <c:spPr>
              <a:solidFill>
                <a:srgbClr val="8BFFBF"/>
              </a:solidFill>
              <a:ln w="25400">
                <a:solidFill>
                  <a:srgbClr val="FFFFFF"/>
                </a:solidFill>
              </a:ln>
              <a:effectLst/>
            </c:spPr>
            <c:extLst>
              <c:ext xmlns:c16="http://schemas.microsoft.com/office/drawing/2014/chart" uri="{C3380CC4-5D6E-409C-BE32-E72D297353CC}">
                <c16:uniqueId val="{00000001-CBD5-416A-A226-16490C41BA45}"/>
              </c:ext>
            </c:extLst>
          </c:dPt>
          <c:dPt>
            <c:idx val="1"/>
            <c:invertIfNegative val="0"/>
            <c:bubble3D val="0"/>
            <c:spPr>
              <a:solidFill>
                <a:srgbClr val="09FF78"/>
              </a:solidFill>
              <a:ln w="25400">
                <a:solidFill>
                  <a:srgbClr val="FFFFFF"/>
                </a:solidFill>
              </a:ln>
              <a:effectLst/>
            </c:spPr>
            <c:extLst>
              <c:ext xmlns:c16="http://schemas.microsoft.com/office/drawing/2014/chart" uri="{C3380CC4-5D6E-409C-BE32-E72D297353CC}">
                <c16:uniqueId val="{00000003-CBD5-416A-A226-16490C41BA45}"/>
              </c:ext>
            </c:extLst>
          </c:dPt>
          <c:dPt>
            <c:idx val="2"/>
            <c:invertIfNegative val="0"/>
            <c:bubble3D val="0"/>
            <c:spPr>
              <a:solidFill>
                <a:srgbClr val="007434"/>
              </a:solidFill>
              <a:ln w="25400">
                <a:solidFill>
                  <a:srgbClr val="FFFFFF"/>
                </a:solidFill>
              </a:ln>
              <a:effectLst/>
            </c:spPr>
            <c:extLst>
              <c:ext xmlns:c16="http://schemas.microsoft.com/office/drawing/2014/chart" uri="{C3380CC4-5D6E-409C-BE32-E72D297353CC}">
                <c16:uniqueId val="{00000005-CBD5-416A-A226-16490C41BA45}"/>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"$"#,##0_);\("$"#,##0\)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CBD5-416A-A226-16490C41BA45}"/>
            </c:ext>
          </c:extLst>
        </c:ser>
        <c:dLbls>
          <c:dLblPos val="outEnd"/>
          <c:showLegendKey val="0"/>
          <c:showVal val="1"/>
          <c:showCatName val="0"/>
          <c:showSerName val="0"/>
          <c:showPercent val="0"/>
          <c:showBubbleSize val="0"/>
        </c:dLbls>
        <c:gapWidth val="182"/>
        <c:axId val="1089823648"/>
        <c:axId val="1089813088"/>
      </c:barChart>
      <c:catAx>
        <c:axId val="1089823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089813088"/>
        <c:crosses val="autoZero"/>
        <c:auto val="1"/>
        <c:lblAlgn val="ctr"/>
        <c:lblOffset val="100"/>
        <c:noMultiLvlLbl val="0"/>
      </c:catAx>
      <c:valAx>
        <c:axId val="1089813088"/>
        <c:scaling>
          <c:orientation val="minMax"/>
        </c:scaling>
        <c:delete val="0"/>
        <c:axPos val="b"/>
        <c:majorGridlines>
          <c:spPr>
            <a:ln w="9525" cap="flat" cmpd="sng" algn="ctr">
              <a:solidFill>
                <a:srgbClr val="FFFFFF"/>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089823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[Coffee_Orders_Project.xlsx]Top5Customers!TotalSales</c:name>
    <c:fmtId val="2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rgbClr val="FFFFFF"/>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434"/>
          </a:solidFill>
          <a:ln w="25400">
            <a:solidFill>
              <a:srgbClr val="FFFFFF"/>
            </a:solidFill>
          </a:ln>
          <a:effectLst/>
        </c:spPr>
      </c:pivotFmt>
      <c:pivotFmt>
        <c:idx val="2"/>
        <c:spPr>
          <a:solidFill>
            <a:srgbClr val="09FF78"/>
          </a:solidFill>
          <a:ln w="25400">
            <a:solidFill>
              <a:srgbClr val="FFFFFF"/>
            </a:solidFill>
          </a:ln>
          <a:effectLst/>
        </c:spPr>
      </c:pivotFmt>
      <c:pivotFmt>
        <c:idx val="3"/>
        <c:spPr>
          <a:solidFill>
            <a:srgbClr val="8BFFBF"/>
          </a:solidFill>
          <a:ln w="25400">
            <a:solidFill>
              <a:srgbClr val="FFFFFF"/>
            </a:solidFill>
          </a:ln>
          <a:effectLst/>
        </c:spPr>
      </c:pivotFmt>
      <c:pivotFmt>
        <c:idx val="4"/>
        <c:spPr>
          <a:solidFill>
            <a:srgbClr val="00B050"/>
          </a:solidFill>
          <a:ln w="25400">
            <a:solidFill>
              <a:srgbClr val="FFFFFF"/>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BFFBF"/>
          </a:solidFill>
          <a:ln w="25400">
            <a:solidFill>
              <a:srgbClr val="FFFFFF"/>
            </a:solidFill>
          </a:ln>
          <a:effectLst/>
        </c:spPr>
      </c:pivotFmt>
      <c:pivotFmt>
        <c:idx val="6"/>
        <c:spPr>
          <a:solidFill>
            <a:srgbClr val="09FF78"/>
          </a:solidFill>
          <a:ln w="25400">
            <a:solidFill>
              <a:srgbClr val="FFFFFF"/>
            </a:solidFill>
          </a:ln>
          <a:effectLst/>
        </c:spPr>
      </c:pivotFmt>
      <c:pivotFmt>
        <c:idx val="7"/>
        <c:spPr>
          <a:solidFill>
            <a:srgbClr val="007434"/>
          </a:solidFill>
          <a:ln w="25400">
            <a:solidFill>
              <a:srgbClr val="FFFFFF"/>
            </a:solidFill>
          </a:ln>
          <a:effectLst/>
        </c:spPr>
      </c:pivotFmt>
      <c:pivotFmt>
        <c:idx val="8"/>
        <c:spPr>
          <a:solidFill>
            <a:srgbClr val="00B050"/>
          </a:solidFill>
          <a:ln w="25400">
            <a:solidFill>
              <a:srgbClr val="FFFFFF"/>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rgbClr val="FFFFFF"/>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rgbClr val="FFFFFF"/>
              </a:solidFill>
            </a:ln>
            <a:effectLst/>
          </c:spPr>
          <c:invertIfNegative val="0"/>
          <c:dPt>
            <c:idx val="0"/>
            <c:invertIfNegative val="0"/>
            <c:bubble3D val="0"/>
            <c:extLst>
              <c:ext xmlns:c16="http://schemas.microsoft.com/office/drawing/2014/chart" uri="{C3380CC4-5D6E-409C-BE32-E72D297353CC}">
                <c16:uniqueId val="{00000000-E8AE-48BB-8917-20FB16F965AF}"/>
              </c:ext>
            </c:extLst>
          </c:dPt>
          <c:dPt>
            <c:idx val="1"/>
            <c:invertIfNegative val="0"/>
            <c:bubble3D val="0"/>
            <c:extLst>
              <c:ext xmlns:c16="http://schemas.microsoft.com/office/drawing/2014/chart" uri="{C3380CC4-5D6E-409C-BE32-E72D297353CC}">
                <c16:uniqueId val="{00000001-E8AE-48BB-8917-20FB16F965AF}"/>
              </c:ext>
            </c:extLst>
          </c:dPt>
          <c:dPt>
            <c:idx val="2"/>
            <c:invertIfNegative val="0"/>
            <c:bubble3D val="0"/>
            <c:extLst>
              <c:ext xmlns:c16="http://schemas.microsoft.com/office/drawing/2014/chart" uri="{C3380CC4-5D6E-409C-BE32-E72D297353CC}">
                <c16:uniqueId val="{00000002-E8AE-48BB-8917-20FB16F965AF}"/>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"$"#,##0_);\("$"#,##0\)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E8AE-48BB-8917-20FB16F965AF}"/>
            </c:ext>
          </c:extLst>
        </c:ser>
        <c:dLbls>
          <c:dLblPos val="outEnd"/>
          <c:showLegendKey val="0"/>
          <c:showVal val="1"/>
          <c:showCatName val="0"/>
          <c:showSerName val="0"/>
          <c:showPercent val="0"/>
          <c:showBubbleSize val="0"/>
        </c:dLbls>
        <c:gapWidth val="182"/>
        <c:axId val="1089823648"/>
        <c:axId val="1089813088"/>
      </c:barChart>
      <c:catAx>
        <c:axId val="1089823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089813088"/>
        <c:crosses val="autoZero"/>
        <c:auto val="1"/>
        <c:lblAlgn val="ctr"/>
        <c:lblOffset val="100"/>
        <c:noMultiLvlLbl val="0"/>
      </c:catAx>
      <c:valAx>
        <c:axId val="1089813088"/>
        <c:scaling>
          <c:orientation val="minMax"/>
        </c:scaling>
        <c:delete val="0"/>
        <c:axPos val="b"/>
        <c:majorGridlines>
          <c:spPr>
            <a:ln w="9525" cap="flat" cmpd="sng" algn="ctr">
              <a:solidFill>
                <a:srgbClr val="FFFFFF"/>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089823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28575</xdr:colOff>
      <xdr:row>2</xdr:row>
      <xdr:rowOff>0</xdr:rowOff>
    </xdr:from>
    <xdr:to>
      <xdr:col>25</xdr:col>
      <xdr:colOff>0</xdr:colOff>
      <xdr:row>6</xdr:row>
      <xdr:rowOff>47625</xdr:rowOff>
    </xdr:to>
    <xdr:sp macro="" textlink="">
      <xdr:nvSpPr>
        <xdr:cNvPr id="2" name="Rectangle 1">
          <a:extLst>
            <a:ext uri="{FF2B5EF4-FFF2-40B4-BE49-F238E27FC236}">
              <a16:creationId xmlns:a16="http://schemas.microsoft.com/office/drawing/2014/main" id="{86C0DF62-3A6C-28D2-A6E2-5F28C1F5922F}"/>
            </a:ext>
          </a:extLst>
        </xdr:cNvPr>
        <xdr:cNvSpPr/>
      </xdr:nvSpPr>
      <xdr:spPr>
        <a:xfrm>
          <a:off x="142875" y="247650"/>
          <a:ext cx="14601825" cy="809625"/>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a:solidFill>
                <a:srgbClr val="FFFFFF"/>
              </a:solidFill>
            </a:rPr>
            <a:t>COFFEE</a:t>
          </a:r>
          <a:r>
            <a:rPr lang="en-US" sz="4800" baseline="0">
              <a:solidFill>
                <a:srgbClr val="FFFFFF"/>
              </a:solidFill>
            </a:rPr>
            <a:t> SALES DASHBOARD</a:t>
          </a:r>
          <a:endParaRPr lang="en-US" sz="4800">
            <a:solidFill>
              <a:srgbClr val="FFFFFF"/>
            </a:solidFill>
          </a:endParaRPr>
        </a:p>
      </xdr:txBody>
    </xdr:sp>
    <xdr:clientData/>
  </xdr:twoCellAnchor>
  <xdr:twoCellAnchor>
    <xdr:from>
      <xdr:col>1</xdr:col>
      <xdr:colOff>23812</xdr:colOff>
      <xdr:row>15</xdr:row>
      <xdr:rowOff>0</xdr:rowOff>
    </xdr:from>
    <xdr:to>
      <xdr:col>17</xdr:col>
      <xdr:colOff>0</xdr:colOff>
      <xdr:row>38</xdr:row>
      <xdr:rowOff>0</xdr:rowOff>
    </xdr:to>
    <xdr:graphicFrame macro="">
      <xdr:nvGraphicFramePr>
        <xdr:cNvPr id="3" name="Chart 2">
          <a:extLst>
            <a:ext uri="{FF2B5EF4-FFF2-40B4-BE49-F238E27FC236}">
              <a16:creationId xmlns:a16="http://schemas.microsoft.com/office/drawing/2014/main" id="{61BB997A-FEBD-4E67-8153-650D53A0A5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19050</xdr:colOff>
      <xdr:row>6</xdr:row>
      <xdr:rowOff>66675</xdr:rowOff>
    </xdr:from>
    <xdr:to>
      <xdr:col>19</xdr:col>
      <xdr:colOff>0</xdr:colOff>
      <xdr:row>14</xdr:row>
      <xdr:rowOff>85725</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BC50D703-0B1C-4F6F-9CB1-73DC943E9232}"/>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33350" y="1076325"/>
              <a:ext cx="10953750" cy="15430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42864</xdr:colOff>
      <xdr:row>9</xdr:row>
      <xdr:rowOff>161926</xdr:rowOff>
    </xdr:from>
    <xdr:to>
      <xdr:col>22</xdr:col>
      <xdr:colOff>42864</xdr:colOff>
      <xdr:row>14</xdr:row>
      <xdr:rowOff>104775</xdr:rowOff>
    </xdr:to>
    <mc:AlternateContent xmlns:mc="http://schemas.openxmlformats.org/markup-compatibility/2006">
      <mc:Choice xmlns:a14="http://schemas.microsoft.com/office/drawing/2010/main" Requires="a14">
        <xdr:graphicFrame macro="">
          <xdr:nvGraphicFramePr>
            <xdr:cNvPr id="5" name="Size">
              <a:extLst>
                <a:ext uri="{FF2B5EF4-FFF2-40B4-BE49-F238E27FC236}">
                  <a16:creationId xmlns:a16="http://schemas.microsoft.com/office/drawing/2014/main" id="{1B809F05-6438-4272-8232-8FA4CAEC7794}"/>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1129964" y="1743076"/>
              <a:ext cx="1828800" cy="8953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28575</xdr:colOff>
      <xdr:row>6</xdr:row>
      <xdr:rowOff>95250</xdr:rowOff>
    </xdr:from>
    <xdr:to>
      <xdr:col>25</xdr:col>
      <xdr:colOff>0</xdr:colOff>
      <xdr:row>9</xdr:row>
      <xdr:rowOff>152400</xdr:rowOff>
    </xdr:to>
    <mc:AlternateContent xmlns:mc="http://schemas.openxmlformats.org/markup-compatibility/2006">
      <mc:Choice xmlns:a14="http://schemas.microsoft.com/office/drawing/2010/main" Requires="a14">
        <xdr:graphicFrame macro="">
          <xdr:nvGraphicFramePr>
            <xdr:cNvPr id="6" name="Roast Type Name">
              <a:extLst>
                <a:ext uri="{FF2B5EF4-FFF2-40B4-BE49-F238E27FC236}">
                  <a16:creationId xmlns:a16="http://schemas.microsoft.com/office/drawing/2014/main" id="{69CC7EE4-4E70-4306-802F-19B68555EB73}"/>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1115675" y="1104900"/>
              <a:ext cx="3629025" cy="628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71439</xdr:colOff>
      <xdr:row>9</xdr:row>
      <xdr:rowOff>171451</xdr:rowOff>
    </xdr:from>
    <xdr:to>
      <xdr:col>25</xdr:col>
      <xdr:colOff>0</xdr:colOff>
      <xdr:row>14</xdr:row>
      <xdr:rowOff>95250</xdr:rowOff>
    </xdr:to>
    <mc:AlternateContent xmlns:mc="http://schemas.openxmlformats.org/markup-compatibility/2006">
      <mc:Choice xmlns:a14="http://schemas.microsoft.com/office/drawing/2010/main" Requires="a14">
        <xdr:graphicFrame macro="">
          <xdr:nvGraphicFramePr>
            <xdr:cNvPr id="7" name="Loyalty Card">
              <a:extLst>
                <a:ext uri="{FF2B5EF4-FFF2-40B4-BE49-F238E27FC236}">
                  <a16:creationId xmlns:a16="http://schemas.microsoft.com/office/drawing/2014/main" id="{3549DB79-79BC-4D25-ABB9-45F076B56E0F}"/>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2987339" y="1752601"/>
              <a:ext cx="1757361" cy="876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197983</xdr:colOff>
      <xdr:row>15</xdr:row>
      <xdr:rowOff>0</xdr:rowOff>
    </xdr:from>
    <xdr:to>
      <xdr:col>25</xdr:col>
      <xdr:colOff>0</xdr:colOff>
      <xdr:row>25</xdr:row>
      <xdr:rowOff>-1</xdr:rowOff>
    </xdr:to>
    <xdr:graphicFrame macro="">
      <xdr:nvGraphicFramePr>
        <xdr:cNvPr id="8" name="Chart 7">
          <a:extLst>
            <a:ext uri="{FF2B5EF4-FFF2-40B4-BE49-F238E27FC236}">
              <a16:creationId xmlns:a16="http://schemas.microsoft.com/office/drawing/2014/main" id="{DD17BA1D-E985-41BC-9DEC-FC52AD948B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170089</xdr:colOff>
      <xdr:row>25</xdr:row>
      <xdr:rowOff>155121</xdr:rowOff>
    </xdr:from>
    <xdr:to>
      <xdr:col>25</xdr:col>
      <xdr:colOff>0</xdr:colOff>
      <xdr:row>38</xdr:row>
      <xdr:rowOff>0</xdr:rowOff>
    </xdr:to>
    <xdr:graphicFrame macro="">
      <xdr:nvGraphicFramePr>
        <xdr:cNvPr id="9" name="Chart 8">
          <a:extLst>
            <a:ext uri="{FF2B5EF4-FFF2-40B4-BE49-F238E27FC236}">
              <a16:creationId xmlns:a16="http://schemas.microsoft.com/office/drawing/2014/main" id="{A79647C9-1765-4FAA-8B1F-43746A7265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u" refreshedDate="45970.117430324077" createdVersion="8" refreshedVersion="8" minRefreshableVersion="3" recordCount="1000" xr:uid="{456F674D-A6E1-43C0-9DA1-BF1194CE9628}">
  <cacheSource type="worksheet">
    <worksheetSource name="Orders"/>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68">
      <sharedItems containsSemiMixedTypes="0" containsString="0" containsNumber="1" minValue="2.6849999999999996" maxValue="36.454999999999998"/>
    </cacheField>
    <cacheField name="Sales" numFmtId="168">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0198486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F5661C-C5D0-4A44-BE49-E4E0B1F2982D}" name="TotalSales" cacheId="24"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7">
  <location ref="A3:F48" firstHeaderRow="1" firstDataRow="2" firstDataCol="2"/>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37"/>
  </dataFields>
  <chartFormats count="8">
    <chartFormat chart="12" format="0" series="1">
      <pivotArea type="data" outline="0" fieldPosition="0">
        <references count="2">
          <reference field="4294967294" count="1" selected="0">
            <x v="0"/>
          </reference>
          <reference field="13" count="1" selected="0">
            <x v="0"/>
          </reference>
        </references>
      </pivotArea>
    </chartFormat>
    <chartFormat chart="12" format="1" series="1">
      <pivotArea type="data" outline="0" fieldPosition="0">
        <references count="2">
          <reference field="4294967294" count="1" selected="0">
            <x v="0"/>
          </reference>
          <reference field="13" count="1" selected="0">
            <x v="1"/>
          </reference>
        </references>
      </pivotArea>
    </chartFormat>
    <chartFormat chart="12" format="2" series="1">
      <pivotArea type="data" outline="0" fieldPosition="0">
        <references count="2">
          <reference field="4294967294" count="1" selected="0">
            <x v="0"/>
          </reference>
          <reference field="13" count="1" selected="0">
            <x v="2"/>
          </reference>
        </references>
      </pivotArea>
    </chartFormat>
    <chartFormat chart="12" format="3" series="1">
      <pivotArea type="data" outline="0" fieldPosition="0">
        <references count="2">
          <reference field="4294967294" count="1" selected="0">
            <x v="0"/>
          </reference>
          <reference field="13" count="1" selected="0">
            <x v="3"/>
          </reference>
        </references>
      </pivotArea>
    </chartFormat>
    <chartFormat chart="16" format="8" series="1">
      <pivotArea type="data" outline="0" fieldPosition="0">
        <references count="2">
          <reference field="4294967294" count="1" selected="0">
            <x v="0"/>
          </reference>
          <reference field="13" count="1" selected="0">
            <x v="0"/>
          </reference>
        </references>
      </pivotArea>
    </chartFormat>
    <chartFormat chart="16" format="9" series="1">
      <pivotArea type="data" outline="0" fieldPosition="0">
        <references count="2">
          <reference field="4294967294" count="1" selected="0">
            <x v="0"/>
          </reference>
          <reference field="13" count="1" selected="0">
            <x v="1"/>
          </reference>
        </references>
      </pivotArea>
    </chartFormat>
    <chartFormat chart="16" format="10" series="1">
      <pivotArea type="data" outline="0" fieldPosition="0">
        <references count="2">
          <reference field="4294967294" count="1" selected="0">
            <x v="0"/>
          </reference>
          <reference field="13" count="1" selected="0">
            <x v="2"/>
          </reference>
        </references>
      </pivotArea>
    </chartFormat>
    <chartFormat chart="16"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611521-DD56-4EF7-AEC0-E9AA1866C200}" name="TotalSales" cacheId="24"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3">
  <location ref="A3:B6"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1" numFmtId="5"/>
  </dataFields>
  <chartFormats count="8">
    <chartFormat chart="19" format="0" series="1">
      <pivotArea type="data" outline="0" fieldPosition="0">
        <references count="1">
          <reference field="4294967294" count="1" selected="0">
            <x v="0"/>
          </reference>
        </references>
      </pivotArea>
    </chartFormat>
    <chartFormat chart="19" format="1">
      <pivotArea type="data" outline="0" fieldPosition="0">
        <references count="2">
          <reference field="4294967294" count="1" selected="0">
            <x v="0"/>
          </reference>
          <reference field="7" count="1" selected="0">
            <x v="2"/>
          </reference>
        </references>
      </pivotArea>
    </chartFormat>
    <chartFormat chart="19" format="2">
      <pivotArea type="data" outline="0" fieldPosition="0">
        <references count="2">
          <reference field="4294967294" count="1" selected="0">
            <x v="0"/>
          </reference>
          <reference field="7" count="1" selected="0">
            <x v="0"/>
          </reference>
        </references>
      </pivotArea>
    </chartFormat>
    <chartFormat chart="19" format="3">
      <pivotArea type="data" outline="0" fieldPosition="0">
        <references count="2">
          <reference field="4294967294" count="1" selected="0">
            <x v="0"/>
          </reference>
          <reference field="7" count="1" selected="0">
            <x v="1"/>
          </reference>
        </references>
      </pivotArea>
    </chartFormat>
    <chartFormat chart="22" format="8" series="1">
      <pivotArea type="data" outline="0" fieldPosition="0">
        <references count="1">
          <reference field="4294967294" count="1" selected="0">
            <x v="0"/>
          </reference>
        </references>
      </pivotArea>
    </chartFormat>
    <chartFormat chart="22" format="9">
      <pivotArea type="data" outline="0" fieldPosition="0">
        <references count="2">
          <reference field="4294967294" count="1" selected="0">
            <x v="0"/>
          </reference>
          <reference field="7" count="1" selected="0">
            <x v="1"/>
          </reference>
        </references>
      </pivotArea>
    </chartFormat>
    <chartFormat chart="22" format="10">
      <pivotArea type="data" outline="0" fieldPosition="0">
        <references count="2">
          <reference field="4294967294" count="1" selected="0">
            <x v="0"/>
          </reference>
          <reference field="7" count="1" selected="0">
            <x v="0"/>
          </reference>
        </references>
      </pivotArea>
    </chartFormat>
    <chartFormat chart="22"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D94BEA-5C56-4252-BDCD-EFE4A6D270CE}" name="TotalSales" cacheId="24"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4">
  <location ref="A3:B8"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1" numFmtId="5"/>
  </dataFields>
  <chartFormats count="5">
    <chartFormat chart="15" format="8"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 chart="22" format="8" series="1">
      <pivotArea type="data" outline="0" fieldPosition="0">
        <references count="1">
          <reference field="4294967294" count="1" selected="0">
            <x v="0"/>
          </reference>
        </references>
      </pivotArea>
    </chartFormat>
    <chartFormat chart="23"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3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00D9C6A2-E1E0-4CEA-92FF-A48DBABBF7CF}" sourceName="Size">
  <pivotTables>
    <pivotTable tabId="18" name="TotalSales"/>
    <pivotTable tabId="19" name="TotalSales"/>
    <pivotTable tabId="21" name="TotalSales"/>
  </pivotTables>
  <data>
    <tabular pivotCacheId="1019848608">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A7C32BF2-622D-496C-B3CA-03C282E26F33}" sourceName="Roast Type Name">
  <pivotTables>
    <pivotTable tabId="18" name="TotalSales"/>
    <pivotTable tabId="19" name="TotalSales"/>
    <pivotTable tabId="21" name="TotalSales"/>
  </pivotTables>
  <data>
    <tabular pivotCacheId="101984860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BBFC5A0C-F386-4031-A49D-8F69D15420AF}" sourceName="Loyalty Card">
  <pivotTables>
    <pivotTable tabId="18" name="TotalSales"/>
    <pivotTable tabId="19" name="TotalSales"/>
    <pivotTable tabId="21" name="TotalSales"/>
  </pivotTables>
  <data>
    <tabular pivotCacheId="101984860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B2EAC3BA-82ED-424A-AFC1-9C081F8177E1}" cache="Slicer_Size" caption="Size" columnCount="2" style="Purple Slicer" rowHeight="241300"/>
  <slicer name="Roast Type Name" xr10:uid="{0823C21B-097D-430B-B064-10CC6B034611}" cache="Slicer_Roast_Type_Name" caption="Roast Type Name" columnCount="3" style="Purple Slicer" rowHeight="241300"/>
  <slicer name="Loyalty Card" xr10:uid="{6F7F8FD2-407F-4596-B2B7-19E015A441ED}" cache="Slicer_Loyalty_Card" caption="Loyalty Card" style="Purple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F132BD-8CE4-4CAB-ACD8-AE6663C90365}" name="Orders" displayName="Orders" ref="A1:P1001" totalsRowShown="0" headerRowDxfId="5">
  <autoFilter ref="A1:P1001" xr:uid="{94F132BD-8CE4-4CAB-ACD8-AE6663C90365}"/>
  <tableColumns count="16">
    <tableColumn id="1" xr3:uid="{2C2C8AD3-CF68-43DB-9B2B-F48F5D3FD2D0}" name="Order ID" dataDxfId="15"/>
    <tableColumn id="2" xr3:uid="{DB4B4874-9F88-49AF-BF1B-2953EAFB55A1}" name="Order Date" dataDxfId="14"/>
    <tableColumn id="3" xr3:uid="{D9223704-B0A0-4203-B858-F81D658F0778}" name="Customer ID" dataDxfId="13"/>
    <tableColumn id="4" xr3:uid="{AD2F6FF3-8A48-4187-B854-1FA50FD4912B}" name="Product ID"/>
    <tableColumn id="5" xr3:uid="{DD8C8387-1C5A-4323-AE84-1D3649FFCC78}" name="Quantity" dataDxfId="12"/>
    <tableColumn id="6" xr3:uid="{D71B1F62-966C-473D-934E-F343C07D8EBC}" name="Customer Name" dataDxfId="11">
      <calculatedColumnFormula>_xlfn.XLOOKUP(C2,customers!$A$1:$A$1001,customers!$B$1:$B$1001,,0)</calculatedColumnFormula>
    </tableColumn>
    <tableColumn id="7" xr3:uid="{349BA364-20FF-414B-9730-8E15862D04CC}" name="Email" dataDxfId="10">
      <calculatedColumnFormula>IF(_xlfn.XLOOKUP(C2,customers!$A$1:$A$1001,customers!$C$1:$C$1001,,0)=0,"",_xlfn.XLOOKUP(C2,customers!$A$1:$A$1001,customers!$C$1:$C$1001,,0))</calculatedColumnFormula>
    </tableColumn>
    <tableColumn id="8" xr3:uid="{8FB4D968-5BBE-4C1E-8139-0C8FE78E3AEE}" name="Country" dataDxfId="9">
      <calculatedColumnFormula>_xlfn.XLOOKUP(C2,customers!$A$1:$A$1001,customers!$G$1:$G$1001)</calculatedColumnFormula>
    </tableColumn>
    <tableColumn id="9" xr3:uid="{FD5352DF-2840-4313-830C-5E5E3EA43D54}" name="Coffee Type">
      <calculatedColumnFormula>INDEX(products!$A$1:$G$49,MATCH(orders!$D2,products!$A$1:$A$49,0),MATCH(orders!I$1,products!$A$1:$G$1,0))</calculatedColumnFormula>
    </tableColumn>
    <tableColumn id="10" xr3:uid="{A841B36D-82BB-4DD0-9335-7076F70ED492}" name="Roast Type">
      <calculatedColumnFormula>INDEX(products!$A$1:$G$49,MATCH(orders!$D2,products!$A$1:$A$49,0),MATCH(orders!J$1,products!$A$1:$G$1,0))</calculatedColumnFormula>
    </tableColumn>
    <tableColumn id="11" xr3:uid="{07FEC7C0-A46B-4752-875B-EF680DDE95B8}" name="Size" dataDxfId="8">
      <calculatedColumnFormula>INDEX(products!$A$1:$G$49,MATCH(orders!$D2,products!$A$1:$A$49,0),MATCH(orders!K$1,products!$A$1:$G$1,0))</calculatedColumnFormula>
    </tableColumn>
    <tableColumn id="12" xr3:uid="{F55F7CE0-6167-4DCB-803E-3E7857300433}" name="Unit Price" dataDxfId="7">
      <calculatedColumnFormula>INDEX(products!$A$1:$G$49,MATCH(orders!$D2,products!$A$1:$A$49,0),MATCH(orders!L$1,products!$A$1:$G$1,0))</calculatedColumnFormula>
    </tableColumn>
    <tableColumn id="13" xr3:uid="{04DA4DD1-6D94-4907-A5F5-1132F42EEC73}" name="Sales" dataDxfId="6">
      <calculatedColumnFormula>L2*E2</calculatedColumnFormula>
    </tableColumn>
    <tableColumn id="14" xr3:uid="{83A5524C-AC65-4CB7-BBDA-5CB2B5490BC1}" name="Coffee Type Name">
      <calculatedColumnFormula>IF(I2 = "Rob","Robusta",IF(I2 = "Exc","Excelsa",IF(I2 = "Ara", "Arabica",IF(I2 = "Lib","Liberica",""))))</calculatedColumnFormula>
    </tableColumn>
    <tableColumn id="15" xr3:uid="{545DBBED-54C6-4AF8-B800-7248837BCAAE}" name="Roast Type Name">
      <calculatedColumnFormula>IF(J2="M","Medium",IF(J2="L","Light",IF(J2="D","Dark","")))</calculatedColumnFormula>
    </tableColumn>
    <tableColumn id="16" xr3:uid="{A80D6224-1889-49C7-B9A9-91AEB5B8C9B4}" name="Loyalty Card" dataDxfId="2">
      <calculatedColumnFormula>_xlfn.XLOOKUP(C2,customers!$A$2:$A$1001,customers!$I$2:$I$1001)</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D203650-A20D-4E60-82E2-77BE3F189F64}" sourceName="Order Date">
  <pivotTables>
    <pivotTable tabId="18" name="TotalSales"/>
    <pivotTable tabId="19" name="TotalSales"/>
    <pivotTable tabId="21" name="TotalSales"/>
  </pivotTables>
  <state minimalRefreshVersion="6" lastRefreshVersion="6" pivotCacheId="1019848608"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69989AF4-8E90-4D13-B28F-167761A1C30C}" cache="NativeTimeline_Order_Date" caption="Order Date" level="2" selectionLevel="2" scrollPosition="2020-11-17T00:00:00" style="Purple Timeline Style"/>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BA818-8551-4267-A8E1-89EDEB45BDD2}">
  <dimension ref="A3:F48"/>
  <sheetViews>
    <sheetView workbookViewId="0">
      <selection activeCell="B26" sqref="B26"/>
    </sheetView>
  </sheetViews>
  <sheetFormatPr defaultRowHeight="15" x14ac:dyDescent="0.25"/>
  <cols>
    <col min="1" max="1" width="13.140625" bestFit="1" customWidth="1"/>
    <col min="2" max="2" width="22" bestFit="1" customWidth="1"/>
    <col min="3" max="3" width="20" bestFit="1" customWidth="1"/>
    <col min="4" max="4" width="7.42578125" bestFit="1" customWidth="1"/>
    <col min="5" max="5" width="7.85546875" bestFit="1" customWidth="1"/>
    <col min="6" max="6" width="8.140625" bestFit="1" customWidth="1"/>
    <col min="7" max="7" width="11.28515625" bestFit="1" customWidth="1"/>
  </cols>
  <sheetData>
    <row r="3" spans="1:6" x14ac:dyDescent="0.25">
      <c r="A3" s="6" t="s">
        <v>6220</v>
      </c>
      <c r="C3" s="6" t="s">
        <v>6196</v>
      </c>
    </row>
    <row r="4" spans="1:6" x14ac:dyDescent="0.25">
      <c r="A4" s="6" t="s">
        <v>6214</v>
      </c>
      <c r="B4" s="6" t="s">
        <v>6215</v>
      </c>
      <c r="C4" t="s">
        <v>6216</v>
      </c>
      <c r="D4" t="s">
        <v>6217</v>
      </c>
      <c r="E4" t="s">
        <v>6218</v>
      </c>
      <c r="F4" t="s">
        <v>6219</v>
      </c>
    </row>
    <row r="5" spans="1:6" x14ac:dyDescent="0.25">
      <c r="A5" t="s">
        <v>6198</v>
      </c>
      <c r="B5" t="s">
        <v>6202</v>
      </c>
      <c r="C5" s="7">
        <v>186.85499999999999</v>
      </c>
      <c r="D5" s="7">
        <v>305.97000000000003</v>
      </c>
      <c r="E5" s="7">
        <v>213.15999999999997</v>
      </c>
      <c r="F5" s="7">
        <v>123</v>
      </c>
    </row>
    <row r="6" spans="1:6" x14ac:dyDescent="0.25">
      <c r="B6" t="s">
        <v>6203</v>
      </c>
      <c r="C6" s="7">
        <v>251.96499999999997</v>
      </c>
      <c r="D6" s="7">
        <v>129.46</v>
      </c>
      <c r="E6" s="7">
        <v>434.03999999999996</v>
      </c>
      <c r="F6" s="7">
        <v>171.93999999999997</v>
      </c>
    </row>
    <row r="7" spans="1:6" x14ac:dyDescent="0.25">
      <c r="B7" t="s">
        <v>6204</v>
      </c>
      <c r="C7" s="7">
        <v>224.94499999999999</v>
      </c>
      <c r="D7" s="7">
        <v>349.12</v>
      </c>
      <c r="E7" s="7">
        <v>321.04000000000002</v>
      </c>
      <c r="F7" s="7">
        <v>126.035</v>
      </c>
    </row>
    <row r="8" spans="1:6" x14ac:dyDescent="0.25">
      <c r="B8" t="s">
        <v>6205</v>
      </c>
      <c r="C8" s="7">
        <v>307.12</v>
      </c>
      <c r="D8" s="7">
        <v>681.07499999999993</v>
      </c>
      <c r="E8" s="7">
        <v>533.70499999999993</v>
      </c>
      <c r="F8" s="7">
        <v>158.85</v>
      </c>
    </row>
    <row r="9" spans="1:6" x14ac:dyDescent="0.25">
      <c r="B9" t="s">
        <v>6206</v>
      </c>
      <c r="C9" s="7">
        <v>53.664999999999992</v>
      </c>
      <c r="D9" s="7">
        <v>83.025000000000006</v>
      </c>
      <c r="E9" s="7">
        <v>193.83499999999998</v>
      </c>
      <c r="F9" s="7">
        <v>68.039999999999992</v>
      </c>
    </row>
    <row r="10" spans="1:6" x14ac:dyDescent="0.25">
      <c r="B10" t="s">
        <v>6207</v>
      </c>
      <c r="C10" s="7">
        <v>163.01999999999998</v>
      </c>
      <c r="D10" s="7">
        <v>678.3599999999999</v>
      </c>
      <c r="E10" s="7">
        <v>171.04500000000002</v>
      </c>
      <c r="F10" s="7">
        <v>372.255</v>
      </c>
    </row>
    <row r="11" spans="1:6" x14ac:dyDescent="0.25">
      <c r="B11" t="s">
        <v>6208</v>
      </c>
      <c r="C11" s="7">
        <v>345.02</v>
      </c>
      <c r="D11" s="7">
        <v>273.86999999999995</v>
      </c>
      <c r="E11" s="7">
        <v>184.12999999999997</v>
      </c>
      <c r="F11" s="7">
        <v>201.11499999999998</v>
      </c>
    </row>
    <row r="12" spans="1:6" x14ac:dyDescent="0.25">
      <c r="B12" t="s">
        <v>6209</v>
      </c>
      <c r="C12" s="7">
        <v>334.89</v>
      </c>
      <c r="D12" s="7">
        <v>70.95</v>
      </c>
      <c r="E12" s="7">
        <v>134.23000000000002</v>
      </c>
      <c r="F12" s="7">
        <v>166.27499999999998</v>
      </c>
    </row>
    <row r="13" spans="1:6" x14ac:dyDescent="0.25">
      <c r="B13" t="s">
        <v>6210</v>
      </c>
      <c r="C13" s="7">
        <v>178.70999999999998</v>
      </c>
      <c r="D13" s="7">
        <v>166.1</v>
      </c>
      <c r="E13" s="7">
        <v>439.30999999999995</v>
      </c>
      <c r="F13" s="7">
        <v>492.9</v>
      </c>
    </row>
    <row r="14" spans="1:6" x14ac:dyDescent="0.25">
      <c r="B14" t="s">
        <v>6211</v>
      </c>
      <c r="C14" s="7">
        <v>301.98500000000001</v>
      </c>
      <c r="D14" s="7">
        <v>153.76499999999999</v>
      </c>
      <c r="E14" s="7">
        <v>215.55499999999998</v>
      </c>
      <c r="F14" s="7">
        <v>213.66499999999999</v>
      </c>
    </row>
    <row r="15" spans="1:6" x14ac:dyDescent="0.25">
      <c r="B15" t="s">
        <v>6212</v>
      </c>
      <c r="C15" s="7">
        <v>312.83499999999998</v>
      </c>
      <c r="D15" s="7">
        <v>63.249999999999993</v>
      </c>
      <c r="E15" s="7">
        <v>350.89500000000004</v>
      </c>
      <c r="F15" s="7">
        <v>96.405000000000001</v>
      </c>
    </row>
    <row r="16" spans="1:6" x14ac:dyDescent="0.25">
      <c r="B16" t="s">
        <v>6213</v>
      </c>
      <c r="C16" s="7">
        <v>265.62</v>
      </c>
      <c r="D16" s="7">
        <v>526.51499999999987</v>
      </c>
      <c r="E16" s="7">
        <v>187.06</v>
      </c>
      <c r="F16" s="7">
        <v>210.58999999999997</v>
      </c>
    </row>
    <row r="17" spans="1:6" x14ac:dyDescent="0.25">
      <c r="A17" t="s">
        <v>6199</v>
      </c>
      <c r="B17" t="s">
        <v>6202</v>
      </c>
      <c r="C17" s="7">
        <v>47.25</v>
      </c>
      <c r="D17" s="7">
        <v>65.805000000000007</v>
      </c>
      <c r="E17" s="7">
        <v>274.67500000000001</v>
      </c>
      <c r="F17" s="7">
        <v>179.22</v>
      </c>
    </row>
    <row r="18" spans="1:6" x14ac:dyDescent="0.25">
      <c r="B18" t="s">
        <v>6203</v>
      </c>
      <c r="C18" s="7">
        <v>745.44999999999993</v>
      </c>
      <c r="D18" s="7">
        <v>428.88499999999999</v>
      </c>
      <c r="E18" s="7">
        <v>194.17499999999998</v>
      </c>
      <c r="F18" s="7">
        <v>429.82999999999993</v>
      </c>
    </row>
    <row r="19" spans="1:6" x14ac:dyDescent="0.25">
      <c r="B19" t="s">
        <v>6204</v>
      </c>
      <c r="C19" s="7">
        <v>130.47</v>
      </c>
      <c r="D19" s="7">
        <v>271.48500000000001</v>
      </c>
      <c r="E19" s="7">
        <v>281.20499999999998</v>
      </c>
      <c r="F19" s="7">
        <v>231.63000000000002</v>
      </c>
    </row>
    <row r="20" spans="1:6" x14ac:dyDescent="0.25">
      <c r="B20" t="s">
        <v>6205</v>
      </c>
      <c r="C20" s="7">
        <v>27</v>
      </c>
      <c r="D20" s="7">
        <v>347.26</v>
      </c>
      <c r="E20" s="7">
        <v>147.51</v>
      </c>
      <c r="F20" s="7">
        <v>240.04</v>
      </c>
    </row>
    <row r="21" spans="1:6" x14ac:dyDescent="0.25">
      <c r="B21" t="s">
        <v>6206</v>
      </c>
      <c r="C21" s="7">
        <v>255.11499999999995</v>
      </c>
      <c r="D21" s="7">
        <v>541.73</v>
      </c>
      <c r="E21" s="7">
        <v>83.43</v>
      </c>
      <c r="F21" s="7">
        <v>59.079999999999991</v>
      </c>
    </row>
    <row r="22" spans="1:6" x14ac:dyDescent="0.25">
      <c r="B22" t="s">
        <v>6207</v>
      </c>
      <c r="C22" s="7">
        <v>584.78999999999985</v>
      </c>
      <c r="D22" s="7">
        <v>357.42999999999995</v>
      </c>
      <c r="E22" s="7">
        <v>355.34</v>
      </c>
      <c r="F22" s="7">
        <v>140.88</v>
      </c>
    </row>
    <row r="23" spans="1:6" x14ac:dyDescent="0.25">
      <c r="B23" t="s">
        <v>6208</v>
      </c>
      <c r="C23" s="7">
        <v>430.62</v>
      </c>
      <c r="D23" s="7">
        <v>227.42500000000001</v>
      </c>
      <c r="E23" s="7">
        <v>236.315</v>
      </c>
      <c r="F23" s="7">
        <v>414.58499999999992</v>
      </c>
    </row>
    <row r="24" spans="1:6" x14ac:dyDescent="0.25">
      <c r="B24" t="s">
        <v>6209</v>
      </c>
      <c r="C24" s="7">
        <v>22.5</v>
      </c>
      <c r="D24" s="7">
        <v>77.72</v>
      </c>
      <c r="E24" s="7">
        <v>60.5</v>
      </c>
      <c r="F24" s="7">
        <v>139.67999999999998</v>
      </c>
    </row>
    <row r="25" spans="1:6" x14ac:dyDescent="0.25">
      <c r="B25" t="s">
        <v>6210</v>
      </c>
      <c r="C25" s="7">
        <v>126.14999999999999</v>
      </c>
      <c r="D25" s="7">
        <v>195.11</v>
      </c>
      <c r="E25" s="7">
        <v>89.13</v>
      </c>
      <c r="F25" s="7">
        <v>302.65999999999997</v>
      </c>
    </row>
    <row r="26" spans="1:6" x14ac:dyDescent="0.25">
      <c r="B26" t="s">
        <v>6211</v>
      </c>
      <c r="C26" s="7">
        <v>376.03</v>
      </c>
      <c r="D26" s="7">
        <v>523.24</v>
      </c>
      <c r="E26" s="7">
        <v>440.96499999999997</v>
      </c>
      <c r="F26" s="7">
        <v>174.46999999999997</v>
      </c>
    </row>
    <row r="27" spans="1:6" x14ac:dyDescent="0.25">
      <c r="B27" t="s">
        <v>6212</v>
      </c>
      <c r="C27" s="7">
        <v>515.17999999999995</v>
      </c>
      <c r="D27" s="7">
        <v>142.56</v>
      </c>
      <c r="E27" s="7">
        <v>347.03999999999996</v>
      </c>
      <c r="F27" s="7">
        <v>104.08499999999999</v>
      </c>
    </row>
    <row r="28" spans="1:6" x14ac:dyDescent="0.25">
      <c r="B28" t="s">
        <v>6213</v>
      </c>
      <c r="C28" s="7">
        <v>95.859999999999985</v>
      </c>
      <c r="D28" s="7">
        <v>484.76</v>
      </c>
      <c r="E28" s="7">
        <v>94.17</v>
      </c>
      <c r="F28" s="7">
        <v>77.10499999999999</v>
      </c>
    </row>
    <row r="29" spans="1:6" x14ac:dyDescent="0.25">
      <c r="A29" t="s">
        <v>6200</v>
      </c>
      <c r="B29" t="s">
        <v>6202</v>
      </c>
      <c r="C29" s="7">
        <v>258.34500000000003</v>
      </c>
      <c r="D29" s="7">
        <v>139.625</v>
      </c>
      <c r="E29" s="7">
        <v>279.52000000000004</v>
      </c>
      <c r="F29" s="7">
        <v>160.19499999999999</v>
      </c>
    </row>
    <row r="30" spans="1:6" x14ac:dyDescent="0.25">
      <c r="B30" t="s">
        <v>6203</v>
      </c>
      <c r="C30" s="7">
        <v>342.2</v>
      </c>
      <c r="D30" s="7">
        <v>284.24999999999994</v>
      </c>
      <c r="E30" s="7">
        <v>251.83</v>
      </c>
      <c r="F30" s="7">
        <v>80.550000000000011</v>
      </c>
    </row>
    <row r="31" spans="1:6" x14ac:dyDescent="0.25">
      <c r="B31" t="s">
        <v>6204</v>
      </c>
      <c r="C31" s="7">
        <v>418.30499999999989</v>
      </c>
      <c r="D31" s="7">
        <v>468.125</v>
      </c>
      <c r="E31" s="7">
        <v>405.05500000000006</v>
      </c>
      <c r="F31" s="7">
        <v>253.15499999999997</v>
      </c>
    </row>
    <row r="32" spans="1:6" x14ac:dyDescent="0.25">
      <c r="B32" t="s">
        <v>6205</v>
      </c>
      <c r="C32" s="7">
        <v>102.32999999999998</v>
      </c>
      <c r="D32" s="7">
        <v>242.14000000000001</v>
      </c>
      <c r="E32" s="7">
        <v>554.875</v>
      </c>
      <c r="F32" s="7">
        <v>106.23999999999998</v>
      </c>
    </row>
    <row r="33" spans="1:6" x14ac:dyDescent="0.25">
      <c r="B33" t="s">
        <v>6206</v>
      </c>
      <c r="C33" s="7">
        <v>234.71999999999997</v>
      </c>
      <c r="D33" s="7">
        <v>133.08000000000001</v>
      </c>
      <c r="E33" s="7">
        <v>267.2</v>
      </c>
      <c r="F33" s="7">
        <v>272.68999999999994</v>
      </c>
    </row>
    <row r="34" spans="1:6" x14ac:dyDescent="0.25">
      <c r="B34" t="s">
        <v>6207</v>
      </c>
      <c r="C34" s="7">
        <v>430.39</v>
      </c>
      <c r="D34" s="7">
        <v>136.20500000000001</v>
      </c>
      <c r="E34" s="7">
        <v>209.6</v>
      </c>
      <c r="F34" s="7">
        <v>88.334999999999994</v>
      </c>
    </row>
    <row r="35" spans="1:6" x14ac:dyDescent="0.25">
      <c r="B35" t="s">
        <v>6208</v>
      </c>
      <c r="C35" s="7">
        <v>109.005</v>
      </c>
      <c r="D35" s="7">
        <v>393.57499999999999</v>
      </c>
      <c r="E35" s="7">
        <v>61.034999999999997</v>
      </c>
      <c r="F35" s="7">
        <v>199.48999999999998</v>
      </c>
    </row>
    <row r="36" spans="1:6" x14ac:dyDescent="0.25">
      <c r="B36" t="s">
        <v>6209</v>
      </c>
      <c r="C36" s="7">
        <v>287.52499999999998</v>
      </c>
      <c r="D36" s="7">
        <v>288.67</v>
      </c>
      <c r="E36" s="7">
        <v>125.58</v>
      </c>
      <c r="F36" s="7">
        <v>374.13499999999999</v>
      </c>
    </row>
    <row r="37" spans="1:6" x14ac:dyDescent="0.25">
      <c r="B37" t="s">
        <v>6210</v>
      </c>
      <c r="C37" s="7">
        <v>840.92999999999984</v>
      </c>
      <c r="D37" s="7">
        <v>409.875</v>
      </c>
      <c r="E37" s="7">
        <v>171.32999999999998</v>
      </c>
      <c r="F37" s="7">
        <v>221.43999999999997</v>
      </c>
    </row>
    <row r="38" spans="1:6" x14ac:dyDescent="0.25">
      <c r="B38" t="s">
        <v>6211</v>
      </c>
      <c r="C38" s="7">
        <v>299.07</v>
      </c>
      <c r="D38" s="7">
        <v>260.32499999999999</v>
      </c>
      <c r="E38" s="7">
        <v>584.64</v>
      </c>
      <c r="F38" s="7">
        <v>256.36500000000001</v>
      </c>
    </row>
    <row r="39" spans="1:6" x14ac:dyDescent="0.25">
      <c r="B39" t="s">
        <v>6212</v>
      </c>
      <c r="C39" s="7">
        <v>323.32499999999999</v>
      </c>
      <c r="D39" s="7">
        <v>565.57000000000005</v>
      </c>
      <c r="E39" s="7">
        <v>537.80999999999995</v>
      </c>
      <c r="F39" s="7">
        <v>189.47499999999999</v>
      </c>
    </row>
    <row r="40" spans="1:6" x14ac:dyDescent="0.25">
      <c r="B40" t="s">
        <v>6213</v>
      </c>
      <c r="C40" s="7">
        <v>399.48499999999996</v>
      </c>
      <c r="D40" s="7">
        <v>148.19999999999999</v>
      </c>
      <c r="E40" s="7">
        <v>388.21999999999997</v>
      </c>
      <c r="F40" s="7">
        <v>212.07499999999999</v>
      </c>
    </row>
    <row r="41" spans="1:6" x14ac:dyDescent="0.25">
      <c r="A41" t="s">
        <v>6201</v>
      </c>
      <c r="B41" t="s">
        <v>6202</v>
      </c>
      <c r="C41" s="7">
        <v>112.69499999999999</v>
      </c>
      <c r="D41" s="7">
        <v>166.32</v>
      </c>
      <c r="E41" s="7">
        <v>843.71499999999992</v>
      </c>
      <c r="F41" s="7">
        <v>146.685</v>
      </c>
    </row>
    <row r="42" spans="1:6" x14ac:dyDescent="0.25">
      <c r="B42" t="s">
        <v>6203</v>
      </c>
      <c r="C42" s="7">
        <v>114.87999999999998</v>
      </c>
      <c r="D42" s="7">
        <v>133.815</v>
      </c>
      <c r="E42" s="7">
        <v>91.175000000000011</v>
      </c>
      <c r="F42" s="7">
        <v>53.759999999999991</v>
      </c>
    </row>
    <row r="43" spans="1:6" x14ac:dyDescent="0.25">
      <c r="B43" t="s">
        <v>6204</v>
      </c>
      <c r="C43" s="7">
        <v>277.76</v>
      </c>
      <c r="D43" s="7">
        <v>175.41</v>
      </c>
      <c r="E43" s="7">
        <v>462.50999999999993</v>
      </c>
      <c r="F43" s="7">
        <v>399.52499999999998</v>
      </c>
    </row>
    <row r="44" spans="1:6" x14ac:dyDescent="0.25">
      <c r="B44" t="s">
        <v>6205</v>
      </c>
      <c r="C44" s="7">
        <v>197.89499999999998</v>
      </c>
      <c r="D44" s="7">
        <v>289.755</v>
      </c>
      <c r="E44" s="7">
        <v>88.545000000000002</v>
      </c>
      <c r="F44" s="7">
        <v>200.25499999999997</v>
      </c>
    </row>
    <row r="45" spans="1:6" x14ac:dyDescent="0.25">
      <c r="B45" t="s">
        <v>6206</v>
      </c>
      <c r="C45" s="7">
        <v>193.11499999999998</v>
      </c>
      <c r="D45" s="7">
        <v>212.49499999999998</v>
      </c>
      <c r="E45" s="7">
        <v>292.29000000000002</v>
      </c>
      <c r="F45" s="7">
        <v>304.46999999999997</v>
      </c>
    </row>
    <row r="46" spans="1:6" x14ac:dyDescent="0.25">
      <c r="B46" t="s">
        <v>6207</v>
      </c>
      <c r="C46" s="7">
        <v>179.79</v>
      </c>
      <c r="D46" s="7">
        <v>426.2</v>
      </c>
      <c r="E46" s="7">
        <v>170.08999999999997</v>
      </c>
      <c r="F46" s="7">
        <v>379.31</v>
      </c>
    </row>
    <row r="47" spans="1:6" x14ac:dyDescent="0.25">
      <c r="B47" t="s">
        <v>6208</v>
      </c>
      <c r="C47" s="7">
        <v>247.28999999999996</v>
      </c>
      <c r="D47" s="7">
        <v>246.685</v>
      </c>
      <c r="E47" s="7">
        <v>271.05499999999995</v>
      </c>
      <c r="F47" s="7">
        <v>141.69999999999999</v>
      </c>
    </row>
    <row r="48" spans="1:6" x14ac:dyDescent="0.25">
      <c r="B48" t="s">
        <v>6209</v>
      </c>
      <c r="C48" s="7">
        <v>116.39499999999998</v>
      </c>
      <c r="D48" s="7">
        <v>41.25</v>
      </c>
      <c r="E48" s="7">
        <v>15.54</v>
      </c>
      <c r="F48" s="7">
        <v>71.06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4CD2C-50F1-428C-BF4B-8C1AA148A891}">
  <dimension ref="A3:B6"/>
  <sheetViews>
    <sheetView workbookViewId="0">
      <selection activeCell="B4" sqref="B4"/>
    </sheetView>
  </sheetViews>
  <sheetFormatPr defaultRowHeight="15" x14ac:dyDescent="0.25"/>
  <cols>
    <col min="1" max="1" width="15.42578125" bestFit="1" customWidth="1"/>
    <col min="2" max="3" width="12.140625" bestFit="1" customWidth="1"/>
    <col min="4" max="4" width="7.42578125" bestFit="1" customWidth="1"/>
    <col min="5" max="5" width="7.85546875" bestFit="1" customWidth="1"/>
    <col min="6" max="6" width="8.140625" bestFit="1" customWidth="1"/>
    <col min="7" max="7" width="11.28515625" bestFit="1" customWidth="1"/>
  </cols>
  <sheetData>
    <row r="3" spans="1:2" x14ac:dyDescent="0.25">
      <c r="A3" s="6" t="s">
        <v>7</v>
      </c>
      <c r="B3" t="s">
        <v>6220</v>
      </c>
    </row>
    <row r="4" spans="1:2" x14ac:dyDescent="0.25">
      <c r="A4" t="s">
        <v>28</v>
      </c>
      <c r="B4" s="8">
        <v>2798.5050000000001</v>
      </c>
    </row>
    <row r="5" spans="1:2" x14ac:dyDescent="0.25">
      <c r="A5" t="s">
        <v>318</v>
      </c>
      <c r="B5" s="8">
        <v>6696.8649999999989</v>
      </c>
    </row>
    <row r="6" spans="1:2" x14ac:dyDescent="0.25">
      <c r="A6" t="s">
        <v>19</v>
      </c>
      <c r="B6" s="8">
        <v>35638.88499999998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07827-360C-4B4C-B993-2DA3E7500CC0}">
  <dimension ref="A3:B8"/>
  <sheetViews>
    <sheetView workbookViewId="0">
      <selection activeCell="R8" sqref="R8"/>
    </sheetView>
  </sheetViews>
  <sheetFormatPr defaultRowHeight="15" x14ac:dyDescent="0.25"/>
  <cols>
    <col min="1" max="1" width="17.7109375" bestFit="1" customWidth="1"/>
    <col min="2" max="3" width="12.140625" bestFit="1" customWidth="1"/>
    <col min="4" max="4" width="7.42578125" bestFit="1" customWidth="1"/>
    <col min="5" max="5" width="7.85546875" bestFit="1" customWidth="1"/>
    <col min="6" max="6" width="8.140625" bestFit="1" customWidth="1"/>
    <col min="7" max="7" width="11.28515625" bestFit="1" customWidth="1"/>
  </cols>
  <sheetData>
    <row r="3" spans="1:2" x14ac:dyDescent="0.25">
      <c r="A3" s="6" t="s">
        <v>4</v>
      </c>
      <c r="B3" t="s">
        <v>6220</v>
      </c>
    </row>
    <row r="4" spans="1:2" x14ac:dyDescent="0.25">
      <c r="A4" t="s">
        <v>3753</v>
      </c>
      <c r="B4" s="8">
        <v>278.01</v>
      </c>
    </row>
    <row r="5" spans="1:2" x14ac:dyDescent="0.25">
      <c r="A5" t="s">
        <v>1598</v>
      </c>
      <c r="B5" s="8">
        <v>281.67499999999995</v>
      </c>
    </row>
    <row r="6" spans="1:2" x14ac:dyDescent="0.25">
      <c r="A6" t="s">
        <v>2587</v>
      </c>
      <c r="B6" s="8">
        <v>289.11</v>
      </c>
    </row>
    <row r="7" spans="1:2" x14ac:dyDescent="0.25">
      <c r="A7" t="s">
        <v>5765</v>
      </c>
      <c r="B7" s="8">
        <v>307.04499999999996</v>
      </c>
    </row>
    <row r="8" spans="1:2" x14ac:dyDescent="0.25">
      <c r="A8" t="s">
        <v>5114</v>
      </c>
      <c r="B8" s="8">
        <v>317.06999999999994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5442C-C6A0-466A-A084-E3A6D587CD17}">
  <dimension ref="A1"/>
  <sheetViews>
    <sheetView showGridLines="0" showRowColHeaders="0" tabSelected="1" zoomScaleNormal="100" workbookViewId="0">
      <selection activeCell="B1" sqref="B1"/>
    </sheetView>
  </sheetViews>
  <sheetFormatPr defaultRowHeight="15" x14ac:dyDescent="0.25"/>
  <cols>
    <col min="1" max="1" width="1.7109375" customWidth="1"/>
  </cols>
  <sheetData>
    <row r="1" customFormat="1"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E1" zoomScale="115" zoomScaleNormal="115" workbookViewId="0">
      <selection activeCell="P2" sqref="P2"/>
    </sheetView>
  </sheetViews>
  <sheetFormatPr defaultRowHeight="15" x14ac:dyDescent="0.25"/>
  <cols>
    <col min="1" max="1" width="16.5703125" bestFit="1" customWidth="1"/>
    <col min="2" max="2" width="13" bestFit="1" customWidth="1"/>
    <col min="3" max="3" width="17.42578125" bestFit="1" customWidth="1"/>
    <col min="4" max="4" width="12" customWidth="1"/>
    <col min="5" max="5" width="10.42578125" customWidth="1"/>
    <col min="6" max="6" width="23.7109375" bestFit="1" customWidth="1"/>
    <col min="7" max="7" width="39.42578125" bestFit="1" customWidth="1"/>
    <col min="8" max="8" width="15.42578125" bestFit="1" customWidth="1"/>
    <col min="9" max="9" width="13.140625" customWidth="1"/>
    <col min="10" max="10" width="12.42578125" customWidth="1"/>
    <col min="11" max="11" width="6.28515625" bestFit="1" customWidth="1"/>
    <col min="12" max="12" width="11.28515625" customWidth="1"/>
    <col min="13" max="13" width="10.7109375" customWidth="1"/>
    <col min="14" max="14" width="18.85546875" customWidth="1"/>
    <col min="15" max="15" width="18.140625" customWidth="1"/>
    <col min="16" max="16" width="14" bestFit="1"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5">
      <c r="A2" s="2" t="s">
        <v>490</v>
      </c>
      <c r="B2" s="3">
        <v>43713</v>
      </c>
      <c r="C2" s="2" t="s">
        <v>491</v>
      </c>
      <c r="D2" t="s">
        <v>6138</v>
      </c>
      <c r="E2" s="2">
        <v>2</v>
      </c>
      <c r="F2" s="2" t="str">
        <f>_xlfn.XLOOKUP(C2,customers!$A$1:$A$1001,customers!$B$1:$B$1001,,0)</f>
        <v>Aloisia Allner</v>
      </c>
      <c r="G2" s="2" t="str">
        <f>_xlfn.XLOOKUP(C2,customers!$A$1:$A$1001,customers!$C$1:$C$1001,,0)</f>
        <v>aallner0@lulu.com</v>
      </c>
      <c r="H2" s="2" t="str">
        <f>_xlfn.XLOOKUP(C2,customers!$A$1:$A$1001,customers!$G$1:$G$1001)</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 = "Rob","Robusta",IF(I2 = "Exc","Excelsa",IF(I2 = "Ara", "Arabica",IF(I2 = "Lib","Liberica",""))))</f>
        <v>Robusta</v>
      </c>
      <c r="O2" t="str">
        <f>IF(J2="M","Medium",IF(J2="L","Light",IF(J2="D","Dark","")))</f>
        <v>Medium</v>
      </c>
      <c r="P2" t="str">
        <f>_xlfn.XLOOKUP(C2,customers!$A$2:$A$1001,customers!$I$2:$I$1001)</f>
        <v>Yes</v>
      </c>
    </row>
    <row r="3" spans="1:16" x14ac:dyDescent="0.25">
      <c r="A3" s="2" t="s">
        <v>490</v>
      </c>
      <c r="B3" s="3">
        <v>43713</v>
      </c>
      <c r="C3" s="2" t="s">
        <v>491</v>
      </c>
      <c r="D3" t="s">
        <v>6139</v>
      </c>
      <c r="E3" s="2">
        <v>5</v>
      </c>
      <c r="F3" s="2" t="str">
        <f>_xlfn.XLOOKUP(C3,customers!$A$1:$A$1001,customers!$B$1:$B$1001,,0)</f>
        <v>Aloisia Allner</v>
      </c>
      <c r="G3" s="2" t="str">
        <f>_xlfn.XLOOKUP(C3,customers!$A$1:$A$1001,customers!$C$1:$C$1001,,0)</f>
        <v>aallner0@lulu.com</v>
      </c>
      <c r="H3" s="2" t="str">
        <f>_xlfn.XLOOKUP(C3,customers!$A$1:$A$1001,customers!$G$1:$G$1001)</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 = "Rob","Robusta",IF(I3 = "Exc","Excelsa",IF(I3 = "Ara", "Arabica",IF(I3 = "Lib","Liberica",""))))</f>
        <v>Excelsa</v>
      </c>
      <c r="O3" t="str">
        <f t="shared" ref="O3:O66" si="2">IF(J3="M","Medium",IF(J3="L","Light",IF(J3="D","Dark","")))</f>
        <v>Medium</v>
      </c>
      <c r="P3" t="str">
        <f>_xlfn.XLOOKUP(C3,customers!$A$2:$A$1001,customers!$I$2:$I$1001)</f>
        <v>Yes</v>
      </c>
    </row>
    <row r="4" spans="1:16" x14ac:dyDescent="0.25">
      <c r="A4" s="2" t="s">
        <v>501</v>
      </c>
      <c r="B4" s="3">
        <v>44364</v>
      </c>
      <c r="C4" s="2" t="s">
        <v>502</v>
      </c>
      <c r="D4" t="s">
        <v>6140</v>
      </c>
      <c r="E4" s="2">
        <v>1</v>
      </c>
      <c r="F4" s="2" t="str">
        <f>_xlfn.XLOOKUP(C4,customers!$A$1:$A$1001,customers!$B$1:$B$1001,,0)</f>
        <v>Jami Redholes</v>
      </c>
      <c r="G4" s="2" t="str">
        <f>_xlfn.XLOOKUP(C4,customers!$A$1:$A$1001,customers!$C$1:$C$1001,,0)</f>
        <v>jredholes2@tmall.com</v>
      </c>
      <c r="H4" s="2" t="str">
        <f>_xlfn.XLOOKUP(C4,customers!$A$1:$A$1001,customers!$G$1:$G$1001)</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_xlfn.XLOOKUP(C4,customers!$A$2:$A$1001,customers!$I$2:$I$1001)</f>
        <v>Yes</v>
      </c>
    </row>
    <row r="5" spans="1:16" x14ac:dyDescent="0.2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_xlfn.XLOOKUP(C5,customers!$A$2:$A$1001,customers!$I$2:$I$1001)</f>
        <v>No</v>
      </c>
    </row>
    <row r="6" spans="1:16" x14ac:dyDescent="0.2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_xlfn.XLOOKUP(C6,customers!$A$2:$A$1001,customers!$I$2:$I$1001)</f>
        <v>No</v>
      </c>
    </row>
    <row r="7" spans="1:16" x14ac:dyDescent="0.2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_xlfn.XLOOKUP(C7,customers!$A$2:$A$1001,customers!$I$2:$I$1001)</f>
        <v>No</v>
      </c>
    </row>
    <row r="8" spans="1:16" x14ac:dyDescent="0.2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_xlfn.XLOOKUP(C8,customers!$A$2:$A$1001,customers!$I$2:$I$1001)</f>
        <v>Yes</v>
      </c>
    </row>
    <row r="9" spans="1:16" x14ac:dyDescent="0.2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_xlfn.XLOOKUP(C9,customers!$A$2:$A$1001,customers!$I$2:$I$1001)</f>
        <v>Yes</v>
      </c>
    </row>
    <row r="10" spans="1:16" x14ac:dyDescent="0.2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_xlfn.XLOOKUP(C10,customers!$A$2:$A$1001,customers!$I$2:$I$1001)</f>
        <v>No</v>
      </c>
    </row>
    <row r="11" spans="1:16" x14ac:dyDescent="0.2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_xlfn.XLOOKUP(C11,customers!$A$2:$A$1001,customers!$I$2:$I$1001)</f>
        <v>No</v>
      </c>
    </row>
    <row r="12" spans="1:16" x14ac:dyDescent="0.2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_xlfn.XLOOKUP(C12,customers!$A$2:$A$1001,customers!$I$2:$I$1001)</f>
        <v>No</v>
      </c>
    </row>
    <row r="13" spans="1:16" x14ac:dyDescent="0.2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_xlfn.XLOOKUP(C13,customers!$A$2:$A$1001,customers!$I$2:$I$1001)</f>
        <v>Yes</v>
      </c>
    </row>
    <row r="14" spans="1:16" x14ac:dyDescent="0.2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_xlfn.XLOOKUP(C14,customers!$A$2:$A$1001,customers!$I$2:$I$1001)</f>
        <v>No</v>
      </c>
    </row>
    <row r="15" spans="1:16" x14ac:dyDescent="0.2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_xlfn.XLOOKUP(C15,customers!$A$2:$A$1001,customers!$I$2:$I$1001)</f>
        <v>No</v>
      </c>
    </row>
    <row r="16" spans="1:16" x14ac:dyDescent="0.2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_xlfn.XLOOKUP(C16,customers!$A$2:$A$1001,customers!$I$2:$I$1001)</f>
        <v>Yes</v>
      </c>
    </row>
    <row r="17" spans="1:16" x14ac:dyDescent="0.2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_xlfn.XLOOKUP(C17,customers!$A$2:$A$1001,customers!$I$2:$I$1001)</f>
        <v>No</v>
      </c>
    </row>
    <row r="18" spans="1:16" x14ac:dyDescent="0.2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_xlfn.XLOOKUP(C18,customers!$A$2:$A$1001,customers!$I$2:$I$1001)</f>
        <v>No</v>
      </c>
    </row>
    <row r="19" spans="1:16" x14ac:dyDescent="0.2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_xlfn.XLOOKUP(C19,customers!$A$2:$A$1001,customers!$I$2:$I$1001)</f>
        <v>No</v>
      </c>
    </row>
    <row r="20" spans="1:16" x14ac:dyDescent="0.2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_xlfn.XLOOKUP(C20,customers!$A$2:$A$1001,customers!$I$2:$I$1001)</f>
        <v>Yes</v>
      </c>
    </row>
    <row r="21" spans="1:16" x14ac:dyDescent="0.2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_xlfn.XLOOKUP(C21,customers!$A$2:$A$1001,customers!$I$2:$I$1001)</f>
        <v>Yes</v>
      </c>
    </row>
    <row r="22" spans="1:16" x14ac:dyDescent="0.2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_xlfn.XLOOKUP(C22,customers!$A$2:$A$1001,customers!$I$2:$I$1001)</f>
        <v>Yes</v>
      </c>
    </row>
    <row r="23" spans="1:16" x14ac:dyDescent="0.2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_xlfn.XLOOKUP(C23,customers!$A$2:$A$1001,customers!$I$2:$I$1001)</f>
        <v>No</v>
      </c>
    </row>
    <row r="24" spans="1:16" x14ac:dyDescent="0.2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_xlfn.XLOOKUP(C24,customers!$A$2:$A$1001,customers!$I$2:$I$1001)</f>
        <v>Yes</v>
      </c>
    </row>
    <row r="25" spans="1:16" x14ac:dyDescent="0.2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_xlfn.XLOOKUP(C25,customers!$A$2:$A$1001,customers!$I$2:$I$1001)</f>
        <v>Yes</v>
      </c>
    </row>
    <row r="26" spans="1:16" x14ac:dyDescent="0.2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_xlfn.XLOOKUP(C26,customers!$A$2:$A$1001,customers!$I$2:$I$1001)</f>
        <v>No</v>
      </c>
    </row>
    <row r="27" spans="1:16" x14ac:dyDescent="0.2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_xlfn.XLOOKUP(C27,customers!$A$2:$A$1001,customers!$I$2:$I$1001)</f>
        <v>Yes</v>
      </c>
    </row>
    <row r="28" spans="1:16" x14ac:dyDescent="0.2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_xlfn.XLOOKUP(C28,customers!$A$2:$A$1001,customers!$I$2:$I$1001)</f>
        <v>Yes</v>
      </c>
    </row>
    <row r="29" spans="1:16" x14ac:dyDescent="0.2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_xlfn.XLOOKUP(C29,customers!$A$2:$A$1001,customers!$I$2:$I$1001)</f>
        <v>No</v>
      </c>
    </row>
    <row r="30" spans="1:16" x14ac:dyDescent="0.2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_xlfn.XLOOKUP(C30,customers!$A$2:$A$1001,customers!$I$2:$I$1001)</f>
        <v>No</v>
      </c>
    </row>
    <row r="31" spans="1:16" x14ac:dyDescent="0.2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_xlfn.XLOOKUP(C31,customers!$A$2:$A$1001,customers!$I$2:$I$1001)</f>
        <v>Yes</v>
      </c>
    </row>
    <row r="32" spans="1:16" x14ac:dyDescent="0.2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_xlfn.XLOOKUP(C32,customers!$A$2:$A$1001,customers!$I$2:$I$1001)</f>
        <v>No</v>
      </c>
    </row>
    <row r="33" spans="1:16" x14ac:dyDescent="0.2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_xlfn.XLOOKUP(C33,customers!$A$2:$A$1001,customers!$I$2:$I$1001)</f>
        <v>No</v>
      </c>
    </row>
    <row r="34" spans="1:16" x14ac:dyDescent="0.2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_xlfn.XLOOKUP(C34,customers!$A$2:$A$1001,customers!$I$2:$I$1001)</f>
        <v>No</v>
      </c>
    </row>
    <row r="35" spans="1:16" x14ac:dyDescent="0.2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_xlfn.XLOOKUP(C35,customers!$A$2:$A$1001,customers!$I$2:$I$1001)</f>
        <v>No</v>
      </c>
    </row>
    <row r="36" spans="1:16" x14ac:dyDescent="0.2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_xlfn.XLOOKUP(C36,customers!$A$2:$A$1001,customers!$I$2:$I$1001)</f>
        <v>Yes</v>
      </c>
    </row>
    <row r="37" spans="1:16" x14ac:dyDescent="0.2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_xlfn.XLOOKUP(C37,customers!$A$2:$A$1001,customers!$I$2:$I$1001)</f>
        <v>No</v>
      </c>
    </row>
    <row r="38" spans="1:16" x14ac:dyDescent="0.2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_xlfn.XLOOKUP(C38,customers!$A$2:$A$1001,customers!$I$2:$I$1001)</f>
        <v>No</v>
      </c>
    </row>
    <row r="39" spans="1:16" x14ac:dyDescent="0.2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_xlfn.XLOOKUP(C39,customers!$A$2:$A$1001,customers!$I$2:$I$1001)</f>
        <v>No</v>
      </c>
    </row>
    <row r="40" spans="1:16" x14ac:dyDescent="0.2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_xlfn.XLOOKUP(C40,customers!$A$2:$A$1001,customers!$I$2:$I$1001)</f>
        <v>No</v>
      </c>
    </row>
    <row r="41" spans="1:16" x14ac:dyDescent="0.2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_xlfn.XLOOKUP(C41,customers!$A$2:$A$1001,customers!$I$2:$I$1001)</f>
        <v>Yes</v>
      </c>
    </row>
    <row r="42" spans="1:16" x14ac:dyDescent="0.2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_xlfn.XLOOKUP(C42,customers!$A$2:$A$1001,customers!$I$2:$I$1001)</f>
        <v>No</v>
      </c>
    </row>
    <row r="43" spans="1:16" x14ac:dyDescent="0.2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_xlfn.XLOOKUP(C43,customers!$A$2:$A$1001,customers!$I$2:$I$1001)</f>
        <v>Yes</v>
      </c>
    </row>
    <row r="44" spans="1:16" x14ac:dyDescent="0.2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_xlfn.XLOOKUP(C44,customers!$A$2:$A$1001,customers!$I$2:$I$1001)</f>
        <v>Yes</v>
      </c>
    </row>
    <row r="45" spans="1:16" x14ac:dyDescent="0.2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_xlfn.XLOOKUP(C45,customers!$A$2:$A$1001,customers!$I$2:$I$1001)</f>
        <v>No</v>
      </c>
    </row>
    <row r="46" spans="1:16" x14ac:dyDescent="0.2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_xlfn.XLOOKUP(C46,customers!$A$2:$A$1001,customers!$I$2:$I$1001)</f>
        <v>Yes</v>
      </c>
    </row>
    <row r="47" spans="1:16" x14ac:dyDescent="0.2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_xlfn.XLOOKUP(C47,customers!$A$2:$A$1001,customers!$I$2:$I$1001)</f>
        <v>No</v>
      </c>
    </row>
    <row r="48" spans="1:16" x14ac:dyDescent="0.2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_xlfn.XLOOKUP(C48,customers!$A$2:$A$1001,customers!$I$2:$I$1001)</f>
        <v>Yes</v>
      </c>
    </row>
    <row r="49" spans="1:16" x14ac:dyDescent="0.2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_xlfn.XLOOKUP(C49,customers!$A$2:$A$1001,customers!$I$2:$I$1001)</f>
        <v>Yes</v>
      </c>
    </row>
    <row r="50" spans="1:16" x14ac:dyDescent="0.2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_xlfn.XLOOKUP(C50,customers!$A$2:$A$1001,customers!$I$2:$I$1001)</f>
        <v>No</v>
      </c>
    </row>
    <row r="51" spans="1:16" x14ac:dyDescent="0.2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_xlfn.XLOOKUP(C51,customers!$A$2:$A$1001,customers!$I$2:$I$1001)</f>
        <v>No</v>
      </c>
    </row>
    <row r="52" spans="1:16" x14ac:dyDescent="0.2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_xlfn.XLOOKUP(C52,customers!$A$2:$A$1001,customers!$I$2:$I$1001)</f>
        <v>No</v>
      </c>
    </row>
    <row r="53" spans="1:16" x14ac:dyDescent="0.2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_xlfn.XLOOKUP(C53,customers!$A$2:$A$1001,customers!$I$2:$I$1001)</f>
        <v>Yes</v>
      </c>
    </row>
    <row r="54" spans="1:16" x14ac:dyDescent="0.2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_xlfn.XLOOKUP(C54,customers!$A$2:$A$1001,customers!$I$2:$I$1001)</f>
        <v>No</v>
      </c>
    </row>
    <row r="55" spans="1:16" x14ac:dyDescent="0.2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_xlfn.XLOOKUP(C55,customers!$A$2:$A$1001,customers!$I$2:$I$1001)</f>
        <v>No</v>
      </c>
    </row>
    <row r="56" spans="1:16" x14ac:dyDescent="0.2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_xlfn.XLOOKUP(C56,customers!$A$2:$A$1001,customers!$I$2:$I$1001)</f>
        <v>No</v>
      </c>
    </row>
    <row r="57" spans="1:16" x14ac:dyDescent="0.2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_xlfn.XLOOKUP(C57,customers!$A$2:$A$1001,customers!$I$2:$I$1001)</f>
        <v>No</v>
      </c>
    </row>
    <row r="58" spans="1:16" x14ac:dyDescent="0.2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_xlfn.XLOOKUP(C58,customers!$A$2:$A$1001,customers!$I$2:$I$1001)</f>
        <v>Yes</v>
      </c>
    </row>
    <row r="59" spans="1:16" x14ac:dyDescent="0.2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_xlfn.XLOOKUP(C59,customers!$A$2:$A$1001,customers!$I$2:$I$1001)</f>
        <v>No</v>
      </c>
    </row>
    <row r="60" spans="1:16" x14ac:dyDescent="0.2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_xlfn.XLOOKUP(C60,customers!$A$2:$A$1001,customers!$I$2:$I$1001)</f>
        <v>Yes</v>
      </c>
    </row>
    <row r="61" spans="1:16" x14ac:dyDescent="0.2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_xlfn.XLOOKUP(C61,customers!$A$2:$A$1001,customers!$I$2:$I$1001)</f>
        <v>Yes</v>
      </c>
    </row>
    <row r="62" spans="1:16" x14ac:dyDescent="0.2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_xlfn.XLOOKUP(C62,customers!$A$2:$A$1001,customers!$I$2:$I$1001)</f>
        <v>No</v>
      </c>
    </row>
    <row r="63" spans="1:16" x14ac:dyDescent="0.2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_xlfn.XLOOKUP(C63,customers!$A$2:$A$1001,customers!$I$2:$I$1001)</f>
        <v>Yes</v>
      </c>
    </row>
    <row r="64" spans="1:16" x14ac:dyDescent="0.2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_xlfn.XLOOKUP(C64,customers!$A$2:$A$1001,customers!$I$2:$I$1001)</f>
        <v>Yes</v>
      </c>
    </row>
    <row r="65" spans="1:16" x14ac:dyDescent="0.2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_xlfn.XLOOKUP(C65,customers!$A$2:$A$1001,customers!$I$2:$I$1001)</f>
        <v>No</v>
      </c>
    </row>
    <row r="66" spans="1:16" x14ac:dyDescent="0.2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_xlfn.XLOOKUP(C66,customers!$A$2:$A$1001,customers!$I$2:$I$1001)</f>
        <v>Yes</v>
      </c>
    </row>
    <row r="67" spans="1:16" x14ac:dyDescent="0.2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 = "Rob","Robusta",IF(I67 = "Exc","Excelsa",IF(I67 = "Ara", "Arabica",IF(I67 = "Lib","Liberica",""))))</f>
        <v>Robusta</v>
      </c>
      <c r="O67" t="str">
        <f t="shared" ref="O67:O130" si="5">IF(J67="M","Medium",IF(J67="L","Light",IF(J67="D","Dark","")))</f>
        <v>Dark</v>
      </c>
      <c r="P67" t="str">
        <f>_xlfn.XLOOKUP(C67,customers!$A$2:$A$1001,customers!$I$2:$I$1001)</f>
        <v>Yes</v>
      </c>
    </row>
    <row r="68" spans="1:16" x14ac:dyDescent="0.2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_xlfn.XLOOKUP(C68,customers!$A$2:$A$1001,customers!$I$2:$I$1001)</f>
        <v>Yes</v>
      </c>
    </row>
    <row r="69" spans="1:16" x14ac:dyDescent="0.2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_xlfn.XLOOKUP(C69,customers!$A$2:$A$1001,customers!$I$2:$I$1001)</f>
        <v>No</v>
      </c>
    </row>
    <row r="70" spans="1:16" x14ac:dyDescent="0.2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_xlfn.XLOOKUP(C70,customers!$A$2:$A$1001,customers!$I$2:$I$1001)</f>
        <v>No</v>
      </c>
    </row>
    <row r="71" spans="1:16" x14ac:dyDescent="0.2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_xlfn.XLOOKUP(C71,customers!$A$2:$A$1001,customers!$I$2:$I$1001)</f>
        <v>Yes</v>
      </c>
    </row>
    <row r="72" spans="1:16" x14ac:dyDescent="0.2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_xlfn.XLOOKUP(C72,customers!$A$2:$A$1001,customers!$I$2:$I$1001)</f>
        <v>No</v>
      </c>
    </row>
    <row r="73" spans="1:16" x14ac:dyDescent="0.2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_xlfn.XLOOKUP(C73,customers!$A$2:$A$1001,customers!$I$2:$I$1001)</f>
        <v>No</v>
      </c>
    </row>
    <row r="74" spans="1:16" x14ac:dyDescent="0.2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_xlfn.XLOOKUP(C74,customers!$A$2:$A$1001,customers!$I$2:$I$1001)</f>
        <v>No</v>
      </c>
    </row>
    <row r="75" spans="1:16" x14ac:dyDescent="0.2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_xlfn.XLOOKUP(C75,customers!$A$2:$A$1001,customers!$I$2:$I$1001)</f>
        <v>Yes</v>
      </c>
    </row>
    <row r="76" spans="1:16" x14ac:dyDescent="0.2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_xlfn.XLOOKUP(C76,customers!$A$2:$A$1001,customers!$I$2:$I$1001)</f>
        <v>Yes</v>
      </c>
    </row>
    <row r="77" spans="1:16" x14ac:dyDescent="0.2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_xlfn.XLOOKUP(C77,customers!$A$2:$A$1001,customers!$I$2:$I$1001)</f>
        <v>Yes</v>
      </c>
    </row>
    <row r="78" spans="1:16" x14ac:dyDescent="0.2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_xlfn.XLOOKUP(C78,customers!$A$2:$A$1001,customers!$I$2:$I$1001)</f>
        <v>Yes</v>
      </c>
    </row>
    <row r="79" spans="1:16" x14ac:dyDescent="0.2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_xlfn.XLOOKUP(C79,customers!$A$2:$A$1001,customers!$I$2:$I$1001)</f>
        <v>No</v>
      </c>
    </row>
    <row r="80" spans="1:16" x14ac:dyDescent="0.2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_xlfn.XLOOKUP(C80,customers!$A$2:$A$1001,customers!$I$2:$I$1001)</f>
        <v>Yes</v>
      </c>
    </row>
    <row r="81" spans="1:16" x14ac:dyDescent="0.2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_xlfn.XLOOKUP(C81,customers!$A$2:$A$1001,customers!$I$2:$I$1001)</f>
        <v>No</v>
      </c>
    </row>
    <row r="82" spans="1:16" x14ac:dyDescent="0.2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_xlfn.XLOOKUP(C82,customers!$A$2:$A$1001,customers!$I$2:$I$1001)</f>
        <v>Yes</v>
      </c>
    </row>
    <row r="83" spans="1:16" x14ac:dyDescent="0.2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_xlfn.XLOOKUP(C83,customers!$A$2:$A$1001,customers!$I$2:$I$1001)</f>
        <v>Yes</v>
      </c>
    </row>
    <row r="84" spans="1:16" x14ac:dyDescent="0.2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_xlfn.XLOOKUP(C84,customers!$A$2:$A$1001,customers!$I$2:$I$1001)</f>
        <v>Yes</v>
      </c>
    </row>
    <row r="85" spans="1:16" x14ac:dyDescent="0.2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_xlfn.XLOOKUP(C85,customers!$A$2:$A$1001,customers!$I$2:$I$1001)</f>
        <v>Yes</v>
      </c>
    </row>
    <row r="86" spans="1:16" x14ac:dyDescent="0.2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_xlfn.XLOOKUP(C86,customers!$A$2:$A$1001,customers!$I$2:$I$1001)</f>
        <v>No</v>
      </c>
    </row>
    <row r="87" spans="1:16" x14ac:dyDescent="0.2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_xlfn.XLOOKUP(C87,customers!$A$2:$A$1001,customers!$I$2:$I$1001)</f>
        <v>No</v>
      </c>
    </row>
    <row r="88" spans="1:16" x14ac:dyDescent="0.2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_xlfn.XLOOKUP(C88,customers!$A$2:$A$1001,customers!$I$2:$I$1001)</f>
        <v>No</v>
      </c>
    </row>
    <row r="89" spans="1:16" x14ac:dyDescent="0.2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_xlfn.XLOOKUP(C89,customers!$A$2:$A$1001,customers!$I$2:$I$1001)</f>
        <v>No</v>
      </c>
    </row>
    <row r="90" spans="1:16" x14ac:dyDescent="0.2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_xlfn.XLOOKUP(C90,customers!$A$2:$A$1001,customers!$I$2:$I$1001)</f>
        <v>No</v>
      </c>
    </row>
    <row r="91" spans="1:16" x14ac:dyDescent="0.2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_xlfn.XLOOKUP(C91,customers!$A$2:$A$1001,customers!$I$2:$I$1001)</f>
        <v>No</v>
      </c>
    </row>
    <row r="92" spans="1:16" x14ac:dyDescent="0.2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_xlfn.XLOOKUP(C92,customers!$A$2:$A$1001,customers!$I$2:$I$1001)</f>
        <v>Yes</v>
      </c>
    </row>
    <row r="93" spans="1:16" x14ac:dyDescent="0.2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_xlfn.XLOOKUP(C93,customers!$A$2:$A$1001,customers!$I$2:$I$1001)</f>
        <v>No</v>
      </c>
    </row>
    <row r="94" spans="1:16" x14ac:dyDescent="0.2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_xlfn.XLOOKUP(C94,customers!$A$2:$A$1001,customers!$I$2:$I$1001)</f>
        <v>Yes</v>
      </c>
    </row>
    <row r="95" spans="1:16" x14ac:dyDescent="0.2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_xlfn.XLOOKUP(C95,customers!$A$2:$A$1001,customers!$I$2:$I$1001)</f>
        <v>Yes</v>
      </c>
    </row>
    <row r="96" spans="1:16" x14ac:dyDescent="0.2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_xlfn.XLOOKUP(C96,customers!$A$2:$A$1001,customers!$I$2:$I$1001)</f>
        <v>Yes</v>
      </c>
    </row>
    <row r="97" spans="1:16" x14ac:dyDescent="0.2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_xlfn.XLOOKUP(C97,customers!$A$2:$A$1001,customers!$I$2:$I$1001)</f>
        <v>No</v>
      </c>
    </row>
    <row r="98" spans="1:16" x14ac:dyDescent="0.2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_xlfn.XLOOKUP(C98,customers!$A$2:$A$1001,customers!$I$2:$I$1001)</f>
        <v>No</v>
      </c>
    </row>
    <row r="99" spans="1:16" x14ac:dyDescent="0.2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_xlfn.XLOOKUP(C99,customers!$A$2:$A$1001,customers!$I$2:$I$1001)</f>
        <v>No</v>
      </c>
    </row>
    <row r="100" spans="1:16" x14ac:dyDescent="0.2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_xlfn.XLOOKUP(C100,customers!$A$2:$A$1001,customers!$I$2:$I$1001)</f>
        <v>No</v>
      </c>
    </row>
    <row r="101" spans="1:16" x14ac:dyDescent="0.2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_xlfn.XLOOKUP(C101,customers!$A$2:$A$1001,customers!$I$2:$I$1001)</f>
        <v>Yes</v>
      </c>
    </row>
    <row r="102" spans="1:16" x14ac:dyDescent="0.2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_xlfn.XLOOKUP(C102,customers!$A$2:$A$1001,customers!$I$2:$I$1001)</f>
        <v>Yes</v>
      </c>
    </row>
    <row r="103" spans="1:16" x14ac:dyDescent="0.2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_xlfn.XLOOKUP(C103,customers!$A$2:$A$1001,customers!$I$2:$I$1001)</f>
        <v>Yes</v>
      </c>
    </row>
    <row r="104" spans="1:16" x14ac:dyDescent="0.2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_xlfn.XLOOKUP(C104,customers!$A$2:$A$1001,customers!$I$2:$I$1001)</f>
        <v>Yes</v>
      </c>
    </row>
    <row r="105" spans="1:16" x14ac:dyDescent="0.2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_xlfn.XLOOKUP(C105,customers!$A$2:$A$1001,customers!$I$2:$I$1001)</f>
        <v>No</v>
      </c>
    </row>
    <row r="106" spans="1:16" x14ac:dyDescent="0.2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_xlfn.XLOOKUP(C106,customers!$A$2:$A$1001,customers!$I$2:$I$1001)</f>
        <v>No</v>
      </c>
    </row>
    <row r="107" spans="1:16" x14ac:dyDescent="0.2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_xlfn.XLOOKUP(C107,customers!$A$2:$A$1001,customers!$I$2:$I$1001)</f>
        <v>Yes</v>
      </c>
    </row>
    <row r="108" spans="1:16" x14ac:dyDescent="0.2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_xlfn.XLOOKUP(C108,customers!$A$2:$A$1001,customers!$I$2:$I$1001)</f>
        <v>No</v>
      </c>
    </row>
    <row r="109" spans="1:16" x14ac:dyDescent="0.2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_xlfn.XLOOKUP(C109,customers!$A$2:$A$1001,customers!$I$2:$I$1001)</f>
        <v>Yes</v>
      </c>
    </row>
    <row r="110" spans="1:16" x14ac:dyDescent="0.2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_xlfn.XLOOKUP(C110,customers!$A$2:$A$1001,customers!$I$2:$I$1001)</f>
        <v>No</v>
      </c>
    </row>
    <row r="111" spans="1:16" x14ac:dyDescent="0.2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_xlfn.XLOOKUP(C111,customers!$A$2:$A$1001,customers!$I$2:$I$1001)</f>
        <v>Yes</v>
      </c>
    </row>
    <row r="112" spans="1:16" x14ac:dyDescent="0.2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_xlfn.XLOOKUP(C112,customers!$A$2:$A$1001,customers!$I$2:$I$1001)</f>
        <v>Yes</v>
      </c>
    </row>
    <row r="113" spans="1:16" x14ac:dyDescent="0.2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_xlfn.XLOOKUP(C113,customers!$A$2:$A$1001,customers!$I$2:$I$1001)</f>
        <v>No</v>
      </c>
    </row>
    <row r="114" spans="1:16" x14ac:dyDescent="0.2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_xlfn.XLOOKUP(C114,customers!$A$2:$A$1001,customers!$I$2:$I$1001)</f>
        <v>No</v>
      </c>
    </row>
    <row r="115" spans="1:16" x14ac:dyDescent="0.2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_xlfn.XLOOKUP(C115,customers!$A$2:$A$1001,customers!$I$2:$I$1001)</f>
        <v>No</v>
      </c>
    </row>
    <row r="116" spans="1:16" x14ac:dyDescent="0.2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_xlfn.XLOOKUP(C116,customers!$A$2:$A$1001,customers!$I$2:$I$1001)</f>
        <v>No</v>
      </c>
    </row>
    <row r="117" spans="1:16" x14ac:dyDescent="0.2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_xlfn.XLOOKUP(C117,customers!$A$2:$A$1001,customers!$I$2:$I$1001)</f>
        <v>No</v>
      </c>
    </row>
    <row r="118" spans="1:16" x14ac:dyDescent="0.2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_xlfn.XLOOKUP(C118,customers!$A$2:$A$1001,customers!$I$2:$I$1001)</f>
        <v>Yes</v>
      </c>
    </row>
    <row r="119" spans="1:16" x14ac:dyDescent="0.2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_xlfn.XLOOKUP(C119,customers!$A$2:$A$1001,customers!$I$2:$I$1001)</f>
        <v>No</v>
      </c>
    </row>
    <row r="120" spans="1:16" x14ac:dyDescent="0.2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_xlfn.XLOOKUP(C120,customers!$A$2:$A$1001,customers!$I$2:$I$1001)</f>
        <v>Yes</v>
      </c>
    </row>
    <row r="121" spans="1:16" x14ac:dyDescent="0.2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_xlfn.XLOOKUP(C121,customers!$A$2:$A$1001,customers!$I$2:$I$1001)</f>
        <v>No</v>
      </c>
    </row>
    <row r="122" spans="1:16" x14ac:dyDescent="0.2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_xlfn.XLOOKUP(C122,customers!$A$2:$A$1001,customers!$I$2:$I$1001)</f>
        <v>No</v>
      </c>
    </row>
    <row r="123" spans="1:16" x14ac:dyDescent="0.2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_xlfn.XLOOKUP(C123,customers!$A$2:$A$1001,customers!$I$2:$I$1001)</f>
        <v>No</v>
      </c>
    </row>
    <row r="124" spans="1:16" x14ac:dyDescent="0.2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_xlfn.XLOOKUP(C124,customers!$A$2:$A$1001,customers!$I$2:$I$1001)</f>
        <v>Yes</v>
      </c>
    </row>
    <row r="125" spans="1:16" x14ac:dyDescent="0.2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_xlfn.XLOOKUP(C125,customers!$A$2:$A$1001,customers!$I$2:$I$1001)</f>
        <v>No</v>
      </c>
    </row>
    <row r="126" spans="1:16" x14ac:dyDescent="0.2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_xlfn.XLOOKUP(C126,customers!$A$2:$A$1001,customers!$I$2:$I$1001)</f>
        <v>Yes</v>
      </c>
    </row>
    <row r="127" spans="1:16" x14ac:dyDescent="0.2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_xlfn.XLOOKUP(C127,customers!$A$2:$A$1001,customers!$I$2:$I$1001)</f>
        <v>Yes</v>
      </c>
    </row>
    <row r="128" spans="1:16" x14ac:dyDescent="0.2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_xlfn.XLOOKUP(C128,customers!$A$2:$A$1001,customers!$I$2:$I$1001)</f>
        <v>No</v>
      </c>
    </row>
    <row r="129" spans="1:16" x14ac:dyDescent="0.2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_xlfn.XLOOKUP(C129,customers!$A$2:$A$1001,customers!$I$2:$I$1001)</f>
        <v>No</v>
      </c>
    </row>
    <row r="130" spans="1:16" x14ac:dyDescent="0.2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_xlfn.XLOOKUP(C130,customers!$A$2:$A$1001,customers!$I$2:$I$1001)</f>
        <v>No</v>
      </c>
    </row>
    <row r="131" spans="1:16" x14ac:dyDescent="0.2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 = "Rob","Robusta",IF(I131 = "Exc","Excelsa",IF(I131 = "Ara", "Arabica",IF(I131 = "Lib","Liberica",""))))</f>
        <v>Excelsa</v>
      </c>
      <c r="O131" t="str">
        <f t="shared" ref="O131:O194" si="8">IF(J131="M","Medium",IF(J131="L","Light",IF(J131="D","Dark","")))</f>
        <v>Dark</v>
      </c>
      <c r="P131" t="str">
        <f>_xlfn.XLOOKUP(C131,customers!$A$2:$A$1001,customers!$I$2:$I$1001)</f>
        <v>Yes</v>
      </c>
    </row>
    <row r="132" spans="1:16" x14ac:dyDescent="0.2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_xlfn.XLOOKUP(C132,customers!$A$2:$A$1001,customers!$I$2:$I$1001)</f>
        <v>Yes</v>
      </c>
    </row>
    <row r="133" spans="1:16" x14ac:dyDescent="0.2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_xlfn.XLOOKUP(C133,customers!$A$2:$A$1001,customers!$I$2:$I$1001)</f>
        <v>Yes</v>
      </c>
    </row>
    <row r="134" spans="1:16" x14ac:dyDescent="0.2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_xlfn.XLOOKUP(C134,customers!$A$2:$A$1001,customers!$I$2:$I$1001)</f>
        <v>Yes</v>
      </c>
    </row>
    <row r="135" spans="1:16" x14ac:dyDescent="0.2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_xlfn.XLOOKUP(C135,customers!$A$2:$A$1001,customers!$I$2:$I$1001)</f>
        <v>No</v>
      </c>
    </row>
    <row r="136" spans="1:16" x14ac:dyDescent="0.2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_xlfn.XLOOKUP(C136,customers!$A$2:$A$1001,customers!$I$2:$I$1001)</f>
        <v>Yes</v>
      </c>
    </row>
    <row r="137" spans="1:16" x14ac:dyDescent="0.2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_xlfn.XLOOKUP(C137,customers!$A$2:$A$1001,customers!$I$2:$I$1001)</f>
        <v>Yes</v>
      </c>
    </row>
    <row r="138" spans="1:16" x14ac:dyDescent="0.2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_xlfn.XLOOKUP(C138,customers!$A$2:$A$1001,customers!$I$2:$I$1001)</f>
        <v>No</v>
      </c>
    </row>
    <row r="139" spans="1:16" x14ac:dyDescent="0.2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_xlfn.XLOOKUP(C139,customers!$A$2:$A$1001,customers!$I$2:$I$1001)</f>
        <v>No</v>
      </c>
    </row>
    <row r="140" spans="1:16" x14ac:dyDescent="0.2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_xlfn.XLOOKUP(C140,customers!$A$2:$A$1001,customers!$I$2:$I$1001)</f>
        <v>No</v>
      </c>
    </row>
    <row r="141" spans="1:16" x14ac:dyDescent="0.2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_xlfn.XLOOKUP(C141,customers!$A$2:$A$1001,customers!$I$2:$I$1001)</f>
        <v>Yes</v>
      </c>
    </row>
    <row r="142" spans="1:16" x14ac:dyDescent="0.2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_xlfn.XLOOKUP(C142,customers!$A$2:$A$1001,customers!$I$2:$I$1001)</f>
        <v>Yes</v>
      </c>
    </row>
    <row r="143" spans="1:16" x14ac:dyDescent="0.2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_xlfn.XLOOKUP(C143,customers!$A$2:$A$1001,customers!$I$2:$I$1001)</f>
        <v>Yes</v>
      </c>
    </row>
    <row r="144" spans="1:16" x14ac:dyDescent="0.2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_xlfn.XLOOKUP(C144,customers!$A$2:$A$1001,customers!$I$2:$I$1001)</f>
        <v>Yes</v>
      </c>
    </row>
    <row r="145" spans="1:16" x14ac:dyDescent="0.2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_xlfn.XLOOKUP(C145,customers!$A$2:$A$1001,customers!$I$2:$I$1001)</f>
        <v>No</v>
      </c>
    </row>
    <row r="146" spans="1:16" x14ac:dyDescent="0.2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_xlfn.XLOOKUP(C146,customers!$A$2:$A$1001,customers!$I$2:$I$1001)</f>
        <v>Yes</v>
      </c>
    </row>
    <row r="147" spans="1:16" x14ac:dyDescent="0.2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_xlfn.XLOOKUP(C147,customers!$A$2:$A$1001,customers!$I$2:$I$1001)</f>
        <v>No</v>
      </c>
    </row>
    <row r="148" spans="1:16" x14ac:dyDescent="0.2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_xlfn.XLOOKUP(C148,customers!$A$2:$A$1001,customers!$I$2:$I$1001)</f>
        <v>No</v>
      </c>
    </row>
    <row r="149" spans="1:16" x14ac:dyDescent="0.2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_xlfn.XLOOKUP(C149,customers!$A$2:$A$1001,customers!$I$2:$I$1001)</f>
        <v>No</v>
      </c>
    </row>
    <row r="150" spans="1:16" x14ac:dyDescent="0.2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_xlfn.XLOOKUP(C150,customers!$A$2:$A$1001,customers!$I$2:$I$1001)</f>
        <v>Yes</v>
      </c>
    </row>
    <row r="151" spans="1:16" x14ac:dyDescent="0.2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_xlfn.XLOOKUP(C151,customers!$A$2:$A$1001,customers!$I$2:$I$1001)</f>
        <v>Yes</v>
      </c>
    </row>
    <row r="152" spans="1:16" x14ac:dyDescent="0.2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_xlfn.XLOOKUP(C152,customers!$A$2:$A$1001,customers!$I$2:$I$1001)</f>
        <v>Yes</v>
      </c>
    </row>
    <row r="153" spans="1:16" x14ac:dyDescent="0.2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_xlfn.XLOOKUP(C153,customers!$A$2:$A$1001,customers!$I$2:$I$1001)</f>
        <v>Yes</v>
      </c>
    </row>
    <row r="154" spans="1:16" x14ac:dyDescent="0.2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_xlfn.XLOOKUP(C154,customers!$A$2:$A$1001,customers!$I$2:$I$1001)</f>
        <v>Yes</v>
      </c>
    </row>
    <row r="155" spans="1:16" x14ac:dyDescent="0.2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_xlfn.XLOOKUP(C155,customers!$A$2:$A$1001,customers!$I$2:$I$1001)</f>
        <v>No</v>
      </c>
    </row>
    <row r="156" spans="1:16" x14ac:dyDescent="0.2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_xlfn.XLOOKUP(C156,customers!$A$2:$A$1001,customers!$I$2:$I$1001)</f>
        <v>No</v>
      </c>
    </row>
    <row r="157" spans="1:16" x14ac:dyDescent="0.2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_xlfn.XLOOKUP(C157,customers!$A$2:$A$1001,customers!$I$2:$I$1001)</f>
        <v>Yes</v>
      </c>
    </row>
    <row r="158" spans="1:16" x14ac:dyDescent="0.2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_xlfn.XLOOKUP(C158,customers!$A$2:$A$1001,customers!$I$2:$I$1001)</f>
        <v>Yes</v>
      </c>
    </row>
    <row r="159" spans="1:16" x14ac:dyDescent="0.2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_xlfn.XLOOKUP(C159,customers!$A$2:$A$1001,customers!$I$2:$I$1001)</f>
        <v>No</v>
      </c>
    </row>
    <row r="160" spans="1:16" x14ac:dyDescent="0.2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_xlfn.XLOOKUP(C160,customers!$A$2:$A$1001,customers!$I$2:$I$1001)</f>
        <v>Yes</v>
      </c>
    </row>
    <row r="161" spans="1:16" x14ac:dyDescent="0.2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_xlfn.XLOOKUP(C161,customers!$A$2:$A$1001,customers!$I$2:$I$1001)</f>
        <v>No</v>
      </c>
    </row>
    <row r="162" spans="1:16" x14ac:dyDescent="0.2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_xlfn.XLOOKUP(C162,customers!$A$2:$A$1001,customers!$I$2:$I$1001)</f>
        <v>No</v>
      </c>
    </row>
    <row r="163" spans="1:16" x14ac:dyDescent="0.2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_xlfn.XLOOKUP(C163,customers!$A$2:$A$1001,customers!$I$2:$I$1001)</f>
        <v>No</v>
      </c>
    </row>
    <row r="164" spans="1:16" x14ac:dyDescent="0.2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_xlfn.XLOOKUP(C164,customers!$A$2:$A$1001,customers!$I$2:$I$1001)</f>
        <v>Yes</v>
      </c>
    </row>
    <row r="165" spans="1:16" x14ac:dyDescent="0.2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_xlfn.XLOOKUP(C165,customers!$A$2:$A$1001,customers!$I$2:$I$1001)</f>
        <v>No</v>
      </c>
    </row>
    <row r="166" spans="1:16" x14ac:dyDescent="0.2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_xlfn.XLOOKUP(C166,customers!$A$2:$A$1001,customers!$I$2:$I$1001)</f>
        <v>No</v>
      </c>
    </row>
    <row r="167" spans="1:16" x14ac:dyDescent="0.2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_xlfn.XLOOKUP(C167,customers!$A$2:$A$1001,customers!$I$2:$I$1001)</f>
        <v>Yes</v>
      </c>
    </row>
    <row r="168" spans="1:16" x14ac:dyDescent="0.2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_xlfn.XLOOKUP(C168,customers!$A$2:$A$1001,customers!$I$2:$I$1001)</f>
        <v>Yes</v>
      </c>
    </row>
    <row r="169" spans="1:16" x14ac:dyDescent="0.2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_xlfn.XLOOKUP(C169,customers!$A$2:$A$1001,customers!$I$2:$I$1001)</f>
        <v>Yes</v>
      </c>
    </row>
    <row r="170" spans="1:16" x14ac:dyDescent="0.2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_xlfn.XLOOKUP(C170,customers!$A$2:$A$1001,customers!$I$2:$I$1001)</f>
        <v>No</v>
      </c>
    </row>
    <row r="171" spans="1:16" x14ac:dyDescent="0.2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_xlfn.XLOOKUP(C171,customers!$A$2:$A$1001,customers!$I$2:$I$1001)</f>
        <v>No</v>
      </c>
    </row>
    <row r="172" spans="1:16" x14ac:dyDescent="0.2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_xlfn.XLOOKUP(C172,customers!$A$2:$A$1001,customers!$I$2:$I$1001)</f>
        <v>No</v>
      </c>
    </row>
    <row r="173" spans="1:16" x14ac:dyDescent="0.2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_xlfn.XLOOKUP(C173,customers!$A$2:$A$1001,customers!$I$2:$I$1001)</f>
        <v>Yes</v>
      </c>
    </row>
    <row r="174" spans="1:16" x14ac:dyDescent="0.2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_xlfn.XLOOKUP(C174,customers!$A$2:$A$1001,customers!$I$2:$I$1001)</f>
        <v>No</v>
      </c>
    </row>
    <row r="175" spans="1:16" x14ac:dyDescent="0.2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_xlfn.XLOOKUP(C175,customers!$A$2:$A$1001,customers!$I$2:$I$1001)</f>
        <v>No</v>
      </c>
    </row>
    <row r="176" spans="1:16" x14ac:dyDescent="0.2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_xlfn.XLOOKUP(C176,customers!$A$2:$A$1001,customers!$I$2:$I$1001)</f>
        <v>Yes</v>
      </c>
    </row>
    <row r="177" spans="1:16" x14ac:dyDescent="0.2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_xlfn.XLOOKUP(C177,customers!$A$2:$A$1001,customers!$I$2:$I$1001)</f>
        <v>Yes</v>
      </c>
    </row>
    <row r="178" spans="1:16" x14ac:dyDescent="0.2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_xlfn.XLOOKUP(C178,customers!$A$2:$A$1001,customers!$I$2:$I$1001)</f>
        <v>Yes</v>
      </c>
    </row>
    <row r="179" spans="1:16" x14ac:dyDescent="0.2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_xlfn.XLOOKUP(C179,customers!$A$2:$A$1001,customers!$I$2:$I$1001)</f>
        <v>Yes</v>
      </c>
    </row>
    <row r="180" spans="1:16" x14ac:dyDescent="0.2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_xlfn.XLOOKUP(C180,customers!$A$2:$A$1001,customers!$I$2:$I$1001)</f>
        <v>No</v>
      </c>
    </row>
    <row r="181" spans="1:16" x14ac:dyDescent="0.2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_xlfn.XLOOKUP(C181,customers!$A$2:$A$1001,customers!$I$2:$I$1001)</f>
        <v>No</v>
      </c>
    </row>
    <row r="182" spans="1:16" x14ac:dyDescent="0.2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_xlfn.XLOOKUP(C182,customers!$A$2:$A$1001,customers!$I$2:$I$1001)</f>
        <v>No</v>
      </c>
    </row>
    <row r="183" spans="1:16" x14ac:dyDescent="0.2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_xlfn.XLOOKUP(C183,customers!$A$2:$A$1001,customers!$I$2:$I$1001)</f>
        <v>No</v>
      </c>
    </row>
    <row r="184" spans="1:16" x14ac:dyDescent="0.2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_xlfn.XLOOKUP(C184,customers!$A$2:$A$1001,customers!$I$2:$I$1001)</f>
        <v>No</v>
      </c>
    </row>
    <row r="185" spans="1:16" x14ac:dyDescent="0.2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_xlfn.XLOOKUP(C185,customers!$A$2:$A$1001,customers!$I$2:$I$1001)</f>
        <v>No</v>
      </c>
    </row>
    <row r="186" spans="1:16" x14ac:dyDescent="0.2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_xlfn.XLOOKUP(C186,customers!$A$2:$A$1001,customers!$I$2:$I$1001)</f>
        <v>No</v>
      </c>
    </row>
    <row r="187" spans="1:16" x14ac:dyDescent="0.2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_xlfn.XLOOKUP(C187,customers!$A$2:$A$1001,customers!$I$2:$I$1001)</f>
        <v>Yes</v>
      </c>
    </row>
    <row r="188" spans="1:16" x14ac:dyDescent="0.2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_xlfn.XLOOKUP(C188,customers!$A$2:$A$1001,customers!$I$2:$I$1001)</f>
        <v>No</v>
      </c>
    </row>
    <row r="189" spans="1:16" x14ac:dyDescent="0.2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_xlfn.XLOOKUP(C189,customers!$A$2:$A$1001,customers!$I$2:$I$1001)</f>
        <v>Yes</v>
      </c>
    </row>
    <row r="190" spans="1:16" x14ac:dyDescent="0.2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_xlfn.XLOOKUP(C190,customers!$A$2:$A$1001,customers!$I$2:$I$1001)</f>
        <v>Yes</v>
      </c>
    </row>
    <row r="191" spans="1:16" x14ac:dyDescent="0.2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_xlfn.XLOOKUP(C191,customers!$A$2:$A$1001,customers!$I$2:$I$1001)</f>
        <v>Yes</v>
      </c>
    </row>
    <row r="192" spans="1:16" x14ac:dyDescent="0.2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_xlfn.XLOOKUP(C192,customers!$A$2:$A$1001,customers!$I$2:$I$1001)</f>
        <v>Yes</v>
      </c>
    </row>
    <row r="193" spans="1:16" x14ac:dyDescent="0.2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_xlfn.XLOOKUP(C193,customers!$A$2:$A$1001,customers!$I$2:$I$1001)</f>
        <v>Yes</v>
      </c>
    </row>
    <row r="194" spans="1:16" x14ac:dyDescent="0.2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_xlfn.XLOOKUP(C194,customers!$A$2:$A$1001,customers!$I$2:$I$1001)</f>
        <v>Yes</v>
      </c>
    </row>
    <row r="195" spans="1:16" x14ac:dyDescent="0.2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 = "Rob","Robusta",IF(I195 = "Exc","Excelsa",IF(I195 = "Ara", "Arabica",IF(I195 = "Lib","Liberica",""))))</f>
        <v>Excelsa</v>
      </c>
      <c r="O195" t="str">
        <f t="shared" ref="O195:O258" si="11">IF(J195="M","Medium",IF(J195="L","Light",IF(J195="D","Dark","")))</f>
        <v>Light</v>
      </c>
      <c r="P195" t="str">
        <f>_xlfn.XLOOKUP(C195,customers!$A$2:$A$1001,customers!$I$2:$I$1001)</f>
        <v>No</v>
      </c>
    </row>
    <row r="196" spans="1:16" x14ac:dyDescent="0.2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_xlfn.XLOOKUP(C196,customers!$A$2:$A$1001,customers!$I$2:$I$1001)</f>
        <v>No</v>
      </c>
    </row>
    <row r="197" spans="1:16" x14ac:dyDescent="0.2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_xlfn.XLOOKUP(C197,customers!$A$2:$A$1001,customers!$I$2:$I$1001)</f>
        <v>No</v>
      </c>
    </row>
    <row r="198" spans="1:16" x14ac:dyDescent="0.2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_xlfn.XLOOKUP(C198,customers!$A$2:$A$1001,customers!$I$2:$I$1001)</f>
        <v>No</v>
      </c>
    </row>
    <row r="199" spans="1:16" x14ac:dyDescent="0.2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_xlfn.XLOOKUP(C199,customers!$A$2:$A$1001,customers!$I$2:$I$1001)</f>
        <v>No</v>
      </c>
    </row>
    <row r="200" spans="1:16" x14ac:dyDescent="0.2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_xlfn.XLOOKUP(C200,customers!$A$2:$A$1001,customers!$I$2:$I$1001)</f>
        <v>No</v>
      </c>
    </row>
    <row r="201" spans="1:16" x14ac:dyDescent="0.2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_xlfn.XLOOKUP(C201,customers!$A$2:$A$1001,customers!$I$2:$I$1001)</f>
        <v>No</v>
      </c>
    </row>
    <row r="202" spans="1:16" x14ac:dyDescent="0.2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_xlfn.XLOOKUP(C202,customers!$A$2:$A$1001,customers!$I$2:$I$1001)</f>
        <v>No</v>
      </c>
    </row>
    <row r="203" spans="1:16" x14ac:dyDescent="0.2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_xlfn.XLOOKUP(C203,customers!$A$2:$A$1001,customers!$I$2:$I$1001)</f>
        <v>No</v>
      </c>
    </row>
    <row r="204" spans="1:16" x14ac:dyDescent="0.2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_xlfn.XLOOKUP(C204,customers!$A$2:$A$1001,customers!$I$2:$I$1001)</f>
        <v>Yes</v>
      </c>
    </row>
    <row r="205" spans="1:16" x14ac:dyDescent="0.2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_xlfn.XLOOKUP(C205,customers!$A$2:$A$1001,customers!$I$2:$I$1001)</f>
        <v>No</v>
      </c>
    </row>
    <row r="206" spans="1:16" x14ac:dyDescent="0.2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_xlfn.XLOOKUP(C206,customers!$A$2:$A$1001,customers!$I$2:$I$1001)</f>
        <v>No</v>
      </c>
    </row>
    <row r="207" spans="1:16" x14ac:dyDescent="0.2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_xlfn.XLOOKUP(C207,customers!$A$2:$A$1001,customers!$I$2:$I$1001)</f>
        <v>Yes</v>
      </c>
    </row>
    <row r="208" spans="1:16" x14ac:dyDescent="0.2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_xlfn.XLOOKUP(C208,customers!$A$2:$A$1001,customers!$I$2:$I$1001)</f>
        <v>No</v>
      </c>
    </row>
    <row r="209" spans="1:16" x14ac:dyDescent="0.2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_xlfn.XLOOKUP(C209,customers!$A$2:$A$1001,customers!$I$2:$I$1001)</f>
        <v>Yes</v>
      </c>
    </row>
    <row r="210" spans="1:16" x14ac:dyDescent="0.2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_xlfn.XLOOKUP(C210,customers!$A$2:$A$1001,customers!$I$2:$I$1001)</f>
        <v>Yes</v>
      </c>
    </row>
    <row r="211" spans="1:16" x14ac:dyDescent="0.2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_xlfn.XLOOKUP(C211,customers!$A$2:$A$1001,customers!$I$2:$I$1001)</f>
        <v>No</v>
      </c>
    </row>
    <row r="212" spans="1:16" x14ac:dyDescent="0.2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_xlfn.XLOOKUP(C212,customers!$A$2:$A$1001,customers!$I$2:$I$1001)</f>
        <v>Yes</v>
      </c>
    </row>
    <row r="213" spans="1:16" x14ac:dyDescent="0.2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_xlfn.XLOOKUP(C213,customers!$A$2:$A$1001,customers!$I$2:$I$1001)</f>
        <v>No</v>
      </c>
    </row>
    <row r="214" spans="1:16" x14ac:dyDescent="0.2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_xlfn.XLOOKUP(C214,customers!$A$2:$A$1001,customers!$I$2:$I$1001)</f>
        <v>Yes</v>
      </c>
    </row>
    <row r="215" spans="1:16" x14ac:dyDescent="0.2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_xlfn.XLOOKUP(C215,customers!$A$2:$A$1001,customers!$I$2:$I$1001)</f>
        <v>No</v>
      </c>
    </row>
    <row r="216" spans="1:16" x14ac:dyDescent="0.2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_xlfn.XLOOKUP(C216,customers!$A$2:$A$1001,customers!$I$2:$I$1001)</f>
        <v>No</v>
      </c>
    </row>
    <row r="217" spans="1:16" x14ac:dyDescent="0.2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_xlfn.XLOOKUP(C217,customers!$A$2:$A$1001,customers!$I$2:$I$1001)</f>
        <v>No</v>
      </c>
    </row>
    <row r="218" spans="1:16" x14ac:dyDescent="0.2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_xlfn.XLOOKUP(C218,customers!$A$2:$A$1001,customers!$I$2:$I$1001)</f>
        <v>Yes</v>
      </c>
    </row>
    <row r="219" spans="1:16" x14ac:dyDescent="0.2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_xlfn.XLOOKUP(C219,customers!$A$2:$A$1001,customers!$I$2:$I$1001)</f>
        <v>No</v>
      </c>
    </row>
    <row r="220" spans="1:16" x14ac:dyDescent="0.2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_xlfn.XLOOKUP(C220,customers!$A$2:$A$1001,customers!$I$2:$I$1001)</f>
        <v>Yes</v>
      </c>
    </row>
    <row r="221" spans="1:16" x14ac:dyDescent="0.2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_xlfn.XLOOKUP(C221,customers!$A$2:$A$1001,customers!$I$2:$I$1001)</f>
        <v>No</v>
      </c>
    </row>
    <row r="222" spans="1:16" x14ac:dyDescent="0.2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_xlfn.XLOOKUP(C222,customers!$A$2:$A$1001,customers!$I$2:$I$1001)</f>
        <v>No</v>
      </c>
    </row>
    <row r="223" spans="1:16" x14ac:dyDescent="0.2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_xlfn.XLOOKUP(C223,customers!$A$2:$A$1001,customers!$I$2:$I$1001)</f>
        <v>Yes</v>
      </c>
    </row>
    <row r="224" spans="1:16" x14ac:dyDescent="0.2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_xlfn.XLOOKUP(C224,customers!$A$2:$A$1001,customers!$I$2:$I$1001)</f>
        <v>No</v>
      </c>
    </row>
    <row r="225" spans="1:16" x14ac:dyDescent="0.2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_xlfn.XLOOKUP(C225,customers!$A$2:$A$1001,customers!$I$2:$I$1001)</f>
        <v>Yes</v>
      </c>
    </row>
    <row r="226" spans="1:16" x14ac:dyDescent="0.2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_xlfn.XLOOKUP(C226,customers!$A$2:$A$1001,customers!$I$2:$I$1001)</f>
        <v>Yes</v>
      </c>
    </row>
    <row r="227" spans="1:16" x14ac:dyDescent="0.2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_xlfn.XLOOKUP(C227,customers!$A$2:$A$1001,customers!$I$2:$I$1001)</f>
        <v>No</v>
      </c>
    </row>
    <row r="228" spans="1:16" x14ac:dyDescent="0.2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_xlfn.XLOOKUP(C228,customers!$A$2:$A$1001,customers!$I$2:$I$1001)</f>
        <v>No</v>
      </c>
    </row>
    <row r="229" spans="1:16" x14ac:dyDescent="0.2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_xlfn.XLOOKUP(C229,customers!$A$2:$A$1001,customers!$I$2:$I$1001)</f>
        <v>Yes</v>
      </c>
    </row>
    <row r="230" spans="1:16" x14ac:dyDescent="0.2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_xlfn.XLOOKUP(C230,customers!$A$2:$A$1001,customers!$I$2:$I$1001)</f>
        <v>No</v>
      </c>
    </row>
    <row r="231" spans="1:16" x14ac:dyDescent="0.2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_xlfn.XLOOKUP(C231,customers!$A$2:$A$1001,customers!$I$2:$I$1001)</f>
        <v>No</v>
      </c>
    </row>
    <row r="232" spans="1:16" x14ac:dyDescent="0.2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_xlfn.XLOOKUP(C232,customers!$A$2:$A$1001,customers!$I$2:$I$1001)</f>
        <v>No</v>
      </c>
    </row>
    <row r="233" spans="1:16" x14ac:dyDescent="0.2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_xlfn.XLOOKUP(C233,customers!$A$2:$A$1001,customers!$I$2:$I$1001)</f>
        <v>Yes</v>
      </c>
    </row>
    <row r="234" spans="1:16" x14ac:dyDescent="0.2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_xlfn.XLOOKUP(C234,customers!$A$2:$A$1001,customers!$I$2:$I$1001)</f>
        <v>No</v>
      </c>
    </row>
    <row r="235" spans="1:16" x14ac:dyDescent="0.2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_xlfn.XLOOKUP(C235,customers!$A$2:$A$1001,customers!$I$2:$I$1001)</f>
        <v>No</v>
      </c>
    </row>
    <row r="236" spans="1:16" x14ac:dyDescent="0.2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_xlfn.XLOOKUP(C236,customers!$A$2:$A$1001,customers!$I$2:$I$1001)</f>
        <v>No</v>
      </c>
    </row>
    <row r="237" spans="1:16" x14ac:dyDescent="0.2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_xlfn.XLOOKUP(C237,customers!$A$2:$A$1001,customers!$I$2:$I$1001)</f>
        <v>No</v>
      </c>
    </row>
    <row r="238" spans="1:16" x14ac:dyDescent="0.2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_xlfn.XLOOKUP(C238,customers!$A$2:$A$1001,customers!$I$2:$I$1001)</f>
        <v>No</v>
      </c>
    </row>
    <row r="239" spans="1:16" x14ac:dyDescent="0.2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_xlfn.XLOOKUP(C239,customers!$A$2:$A$1001,customers!$I$2:$I$1001)</f>
        <v>Yes</v>
      </c>
    </row>
    <row r="240" spans="1:16" x14ac:dyDescent="0.2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_xlfn.XLOOKUP(C240,customers!$A$2:$A$1001,customers!$I$2:$I$1001)</f>
        <v>Yes</v>
      </c>
    </row>
    <row r="241" spans="1:16" x14ac:dyDescent="0.2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_xlfn.XLOOKUP(C241,customers!$A$2:$A$1001,customers!$I$2:$I$1001)</f>
        <v>No</v>
      </c>
    </row>
    <row r="242" spans="1:16" x14ac:dyDescent="0.2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_xlfn.XLOOKUP(C242,customers!$A$2:$A$1001,customers!$I$2:$I$1001)</f>
        <v>Yes</v>
      </c>
    </row>
    <row r="243" spans="1:16" x14ac:dyDescent="0.2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_xlfn.XLOOKUP(C243,customers!$A$2:$A$1001,customers!$I$2:$I$1001)</f>
        <v>No</v>
      </c>
    </row>
    <row r="244" spans="1:16" x14ac:dyDescent="0.2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_xlfn.XLOOKUP(C244,customers!$A$2:$A$1001,customers!$I$2:$I$1001)</f>
        <v>Yes</v>
      </c>
    </row>
    <row r="245" spans="1:16" x14ac:dyDescent="0.2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_xlfn.XLOOKUP(C245,customers!$A$2:$A$1001,customers!$I$2:$I$1001)</f>
        <v>Yes</v>
      </c>
    </row>
    <row r="246" spans="1:16" x14ac:dyDescent="0.2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_xlfn.XLOOKUP(C246,customers!$A$2:$A$1001,customers!$I$2:$I$1001)</f>
        <v>No</v>
      </c>
    </row>
    <row r="247" spans="1:16" x14ac:dyDescent="0.2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_xlfn.XLOOKUP(C247,customers!$A$2:$A$1001,customers!$I$2:$I$1001)</f>
        <v>Yes</v>
      </c>
    </row>
    <row r="248" spans="1:16" x14ac:dyDescent="0.2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_xlfn.XLOOKUP(C248,customers!$A$2:$A$1001,customers!$I$2:$I$1001)</f>
        <v>No</v>
      </c>
    </row>
    <row r="249" spans="1:16" x14ac:dyDescent="0.2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_xlfn.XLOOKUP(C249,customers!$A$2:$A$1001,customers!$I$2:$I$1001)</f>
        <v>Yes</v>
      </c>
    </row>
    <row r="250" spans="1:16" x14ac:dyDescent="0.2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_xlfn.XLOOKUP(C250,customers!$A$2:$A$1001,customers!$I$2:$I$1001)</f>
        <v>Yes</v>
      </c>
    </row>
    <row r="251" spans="1:16" x14ac:dyDescent="0.2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_xlfn.XLOOKUP(C251,customers!$A$2:$A$1001,customers!$I$2:$I$1001)</f>
        <v>Yes</v>
      </c>
    </row>
    <row r="252" spans="1:16" x14ac:dyDescent="0.2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_xlfn.XLOOKUP(C252,customers!$A$2:$A$1001,customers!$I$2:$I$1001)</f>
        <v>Yes</v>
      </c>
    </row>
    <row r="253" spans="1:16" x14ac:dyDescent="0.2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_xlfn.XLOOKUP(C253,customers!$A$2:$A$1001,customers!$I$2:$I$1001)</f>
        <v>Yes</v>
      </c>
    </row>
    <row r="254" spans="1:16" x14ac:dyDescent="0.2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_xlfn.XLOOKUP(C254,customers!$A$2:$A$1001,customers!$I$2:$I$1001)</f>
        <v>No</v>
      </c>
    </row>
    <row r="255" spans="1:16" x14ac:dyDescent="0.2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_xlfn.XLOOKUP(C255,customers!$A$2:$A$1001,customers!$I$2:$I$1001)</f>
        <v>No</v>
      </c>
    </row>
    <row r="256" spans="1:16" x14ac:dyDescent="0.2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_xlfn.XLOOKUP(C256,customers!$A$2:$A$1001,customers!$I$2:$I$1001)</f>
        <v>No</v>
      </c>
    </row>
    <row r="257" spans="1:16" x14ac:dyDescent="0.2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_xlfn.XLOOKUP(C257,customers!$A$2:$A$1001,customers!$I$2:$I$1001)</f>
        <v>No</v>
      </c>
    </row>
    <row r="258" spans="1:16" x14ac:dyDescent="0.2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_xlfn.XLOOKUP(C258,customers!$A$2:$A$1001,customers!$I$2:$I$1001)</f>
        <v>Yes</v>
      </c>
    </row>
    <row r="259" spans="1:16" x14ac:dyDescent="0.2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 = "Rob","Robusta",IF(I259 = "Exc","Excelsa",IF(I259 = "Ara", "Arabica",IF(I259 = "Lib","Liberica",""))))</f>
        <v>Excelsa</v>
      </c>
      <c r="O259" t="str">
        <f t="shared" ref="O259:O322" si="14">IF(J259="M","Medium",IF(J259="L","Light",IF(J259="D","Dark","")))</f>
        <v>Dark</v>
      </c>
      <c r="P259" t="str">
        <f>_xlfn.XLOOKUP(C259,customers!$A$2:$A$1001,customers!$I$2:$I$1001)</f>
        <v>Yes</v>
      </c>
    </row>
    <row r="260" spans="1:16" x14ac:dyDescent="0.2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_xlfn.XLOOKUP(C260,customers!$A$2:$A$1001,customers!$I$2:$I$1001)</f>
        <v>No</v>
      </c>
    </row>
    <row r="261" spans="1:16" x14ac:dyDescent="0.2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_xlfn.XLOOKUP(C261,customers!$A$2:$A$1001,customers!$I$2:$I$1001)</f>
        <v>No</v>
      </c>
    </row>
    <row r="262" spans="1:16" x14ac:dyDescent="0.2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_xlfn.XLOOKUP(C262,customers!$A$2:$A$1001,customers!$I$2:$I$1001)</f>
        <v>Yes</v>
      </c>
    </row>
    <row r="263" spans="1:16" x14ac:dyDescent="0.2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_xlfn.XLOOKUP(C263,customers!$A$2:$A$1001,customers!$I$2:$I$1001)</f>
        <v>Yes</v>
      </c>
    </row>
    <row r="264" spans="1:16" x14ac:dyDescent="0.2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_xlfn.XLOOKUP(C264,customers!$A$2:$A$1001,customers!$I$2:$I$1001)</f>
        <v>No</v>
      </c>
    </row>
    <row r="265" spans="1:16" x14ac:dyDescent="0.2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_xlfn.XLOOKUP(C265,customers!$A$2:$A$1001,customers!$I$2:$I$1001)</f>
        <v>No</v>
      </c>
    </row>
    <row r="266" spans="1:16" x14ac:dyDescent="0.2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_xlfn.XLOOKUP(C266,customers!$A$2:$A$1001,customers!$I$2:$I$1001)</f>
        <v>Yes</v>
      </c>
    </row>
    <row r="267" spans="1:16" x14ac:dyDescent="0.2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_xlfn.XLOOKUP(C267,customers!$A$2:$A$1001,customers!$I$2:$I$1001)</f>
        <v>Yes</v>
      </c>
    </row>
    <row r="268" spans="1:16" x14ac:dyDescent="0.2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_xlfn.XLOOKUP(C268,customers!$A$2:$A$1001,customers!$I$2:$I$1001)</f>
        <v>No</v>
      </c>
    </row>
    <row r="269" spans="1:16" x14ac:dyDescent="0.2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_xlfn.XLOOKUP(C269,customers!$A$2:$A$1001,customers!$I$2:$I$1001)</f>
        <v>Yes</v>
      </c>
    </row>
    <row r="270" spans="1:16" x14ac:dyDescent="0.2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_xlfn.XLOOKUP(C270,customers!$A$2:$A$1001,customers!$I$2:$I$1001)</f>
        <v>Yes</v>
      </c>
    </row>
    <row r="271" spans="1:16" x14ac:dyDescent="0.2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_xlfn.XLOOKUP(C271,customers!$A$2:$A$1001,customers!$I$2:$I$1001)</f>
        <v>No</v>
      </c>
    </row>
    <row r="272" spans="1:16" x14ac:dyDescent="0.2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_xlfn.XLOOKUP(C272,customers!$A$2:$A$1001,customers!$I$2:$I$1001)</f>
        <v>Yes</v>
      </c>
    </row>
    <row r="273" spans="1:16" x14ac:dyDescent="0.2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_xlfn.XLOOKUP(C273,customers!$A$2:$A$1001,customers!$I$2:$I$1001)</f>
        <v>Yes</v>
      </c>
    </row>
    <row r="274" spans="1:16" x14ac:dyDescent="0.2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_xlfn.XLOOKUP(C274,customers!$A$2:$A$1001,customers!$I$2:$I$1001)</f>
        <v>Yes</v>
      </c>
    </row>
    <row r="275" spans="1:16" x14ac:dyDescent="0.2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_xlfn.XLOOKUP(C275,customers!$A$2:$A$1001,customers!$I$2:$I$1001)</f>
        <v>No</v>
      </c>
    </row>
    <row r="276" spans="1:16" x14ac:dyDescent="0.2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_xlfn.XLOOKUP(C276,customers!$A$2:$A$1001,customers!$I$2:$I$1001)</f>
        <v>No</v>
      </c>
    </row>
    <row r="277" spans="1:16" x14ac:dyDescent="0.2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_xlfn.XLOOKUP(C277,customers!$A$2:$A$1001,customers!$I$2:$I$1001)</f>
        <v>No</v>
      </c>
    </row>
    <row r="278" spans="1:16" x14ac:dyDescent="0.2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_xlfn.XLOOKUP(C278,customers!$A$2:$A$1001,customers!$I$2:$I$1001)</f>
        <v>Yes</v>
      </c>
    </row>
    <row r="279" spans="1:16" x14ac:dyDescent="0.2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_xlfn.XLOOKUP(C279,customers!$A$2:$A$1001,customers!$I$2:$I$1001)</f>
        <v>No</v>
      </c>
    </row>
    <row r="280" spans="1:16" x14ac:dyDescent="0.2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_xlfn.XLOOKUP(C280,customers!$A$2:$A$1001,customers!$I$2:$I$1001)</f>
        <v>Yes</v>
      </c>
    </row>
    <row r="281" spans="1:16" x14ac:dyDescent="0.2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_xlfn.XLOOKUP(C281,customers!$A$2:$A$1001,customers!$I$2:$I$1001)</f>
        <v>Yes</v>
      </c>
    </row>
    <row r="282" spans="1:16" x14ac:dyDescent="0.2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_xlfn.XLOOKUP(C282,customers!$A$2:$A$1001,customers!$I$2:$I$1001)</f>
        <v>Yes</v>
      </c>
    </row>
    <row r="283" spans="1:16" x14ac:dyDescent="0.2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_xlfn.XLOOKUP(C283,customers!$A$2:$A$1001,customers!$I$2:$I$1001)</f>
        <v>Yes</v>
      </c>
    </row>
    <row r="284" spans="1:16" x14ac:dyDescent="0.2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_xlfn.XLOOKUP(C284,customers!$A$2:$A$1001,customers!$I$2:$I$1001)</f>
        <v>No</v>
      </c>
    </row>
    <row r="285" spans="1:16" x14ac:dyDescent="0.2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_xlfn.XLOOKUP(C285,customers!$A$2:$A$1001,customers!$I$2:$I$1001)</f>
        <v>Yes</v>
      </c>
    </row>
    <row r="286" spans="1:16" x14ac:dyDescent="0.2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_xlfn.XLOOKUP(C286,customers!$A$2:$A$1001,customers!$I$2:$I$1001)</f>
        <v>No</v>
      </c>
    </row>
    <row r="287" spans="1:16" x14ac:dyDescent="0.2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_xlfn.XLOOKUP(C287,customers!$A$2:$A$1001,customers!$I$2:$I$1001)</f>
        <v>No</v>
      </c>
    </row>
    <row r="288" spans="1:16" x14ac:dyDescent="0.2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_xlfn.XLOOKUP(C288,customers!$A$2:$A$1001,customers!$I$2:$I$1001)</f>
        <v>Yes</v>
      </c>
    </row>
    <row r="289" spans="1:16" x14ac:dyDescent="0.2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_xlfn.XLOOKUP(C289,customers!$A$2:$A$1001,customers!$I$2:$I$1001)</f>
        <v>No</v>
      </c>
    </row>
    <row r="290" spans="1:16" x14ac:dyDescent="0.2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_xlfn.XLOOKUP(C290,customers!$A$2:$A$1001,customers!$I$2:$I$1001)</f>
        <v>Yes</v>
      </c>
    </row>
    <row r="291" spans="1:16" x14ac:dyDescent="0.2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_xlfn.XLOOKUP(C291,customers!$A$2:$A$1001,customers!$I$2:$I$1001)</f>
        <v>Yes</v>
      </c>
    </row>
    <row r="292" spans="1:16" x14ac:dyDescent="0.2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_xlfn.XLOOKUP(C292,customers!$A$2:$A$1001,customers!$I$2:$I$1001)</f>
        <v>No</v>
      </c>
    </row>
    <row r="293" spans="1:16" x14ac:dyDescent="0.2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_xlfn.XLOOKUP(C293,customers!$A$2:$A$1001,customers!$I$2:$I$1001)</f>
        <v>No</v>
      </c>
    </row>
    <row r="294" spans="1:16" x14ac:dyDescent="0.2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_xlfn.XLOOKUP(C294,customers!$A$2:$A$1001,customers!$I$2:$I$1001)</f>
        <v>No</v>
      </c>
    </row>
    <row r="295" spans="1:16" x14ac:dyDescent="0.2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_xlfn.XLOOKUP(C295,customers!$A$2:$A$1001,customers!$I$2:$I$1001)</f>
        <v>No</v>
      </c>
    </row>
    <row r="296" spans="1:16" x14ac:dyDescent="0.2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_xlfn.XLOOKUP(C296,customers!$A$2:$A$1001,customers!$I$2:$I$1001)</f>
        <v>No</v>
      </c>
    </row>
    <row r="297" spans="1:16" x14ac:dyDescent="0.2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_xlfn.XLOOKUP(C297,customers!$A$2:$A$1001,customers!$I$2:$I$1001)</f>
        <v>No</v>
      </c>
    </row>
    <row r="298" spans="1:16" x14ac:dyDescent="0.2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_xlfn.XLOOKUP(C298,customers!$A$2:$A$1001,customers!$I$2:$I$1001)</f>
        <v>Yes</v>
      </c>
    </row>
    <row r="299" spans="1:16" x14ac:dyDescent="0.2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_xlfn.XLOOKUP(C299,customers!$A$2:$A$1001,customers!$I$2:$I$1001)</f>
        <v>Yes</v>
      </c>
    </row>
    <row r="300" spans="1:16" x14ac:dyDescent="0.2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_xlfn.XLOOKUP(C300,customers!$A$2:$A$1001,customers!$I$2:$I$1001)</f>
        <v>Yes</v>
      </c>
    </row>
    <row r="301" spans="1:16" x14ac:dyDescent="0.2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_xlfn.XLOOKUP(C301,customers!$A$2:$A$1001,customers!$I$2:$I$1001)</f>
        <v>Yes</v>
      </c>
    </row>
    <row r="302" spans="1:16" x14ac:dyDescent="0.2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_xlfn.XLOOKUP(C302,customers!$A$2:$A$1001,customers!$I$2:$I$1001)</f>
        <v>Yes</v>
      </c>
    </row>
    <row r="303" spans="1:16" x14ac:dyDescent="0.2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_xlfn.XLOOKUP(C303,customers!$A$2:$A$1001,customers!$I$2:$I$1001)</f>
        <v>Yes</v>
      </c>
    </row>
    <row r="304" spans="1:16" x14ac:dyDescent="0.2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_xlfn.XLOOKUP(C304,customers!$A$2:$A$1001,customers!$I$2:$I$1001)</f>
        <v>No</v>
      </c>
    </row>
    <row r="305" spans="1:16" x14ac:dyDescent="0.2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_xlfn.XLOOKUP(C305,customers!$A$2:$A$1001,customers!$I$2:$I$1001)</f>
        <v>Yes</v>
      </c>
    </row>
    <row r="306" spans="1:16" x14ac:dyDescent="0.2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_xlfn.XLOOKUP(C306,customers!$A$2:$A$1001,customers!$I$2:$I$1001)</f>
        <v>Yes</v>
      </c>
    </row>
    <row r="307" spans="1:16" x14ac:dyDescent="0.2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_xlfn.XLOOKUP(C307,customers!$A$2:$A$1001,customers!$I$2:$I$1001)</f>
        <v>No</v>
      </c>
    </row>
    <row r="308" spans="1:16" x14ac:dyDescent="0.2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_xlfn.XLOOKUP(C308,customers!$A$2:$A$1001,customers!$I$2:$I$1001)</f>
        <v>No</v>
      </c>
    </row>
    <row r="309" spans="1:16" x14ac:dyDescent="0.2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_xlfn.XLOOKUP(C309,customers!$A$2:$A$1001,customers!$I$2:$I$1001)</f>
        <v>Yes</v>
      </c>
    </row>
    <row r="310" spans="1:16" x14ac:dyDescent="0.2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_xlfn.XLOOKUP(C310,customers!$A$2:$A$1001,customers!$I$2:$I$1001)</f>
        <v>No</v>
      </c>
    </row>
    <row r="311" spans="1:16" x14ac:dyDescent="0.2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_xlfn.XLOOKUP(C311,customers!$A$2:$A$1001,customers!$I$2:$I$1001)</f>
        <v>Yes</v>
      </c>
    </row>
    <row r="312" spans="1:16" x14ac:dyDescent="0.2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_xlfn.XLOOKUP(C312,customers!$A$2:$A$1001,customers!$I$2:$I$1001)</f>
        <v>No</v>
      </c>
    </row>
    <row r="313" spans="1:16" x14ac:dyDescent="0.2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_xlfn.XLOOKUP(C313,customers!$A$2:$A$1001,customers!$I$2:$I$1001)</f>
        <v>Yes</v>
      </c>
    </row>
    <row r="314" spans="1:16" x14ac:dyDescent="0.2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_xlfn.XLOOKUP(C314,customers!$A$2:$A$1001,customers!$I$2:$I$1001)</f>
        <v>Yes</v>
      </c>
    </row>
    <row r="315" spans="1:16" x14ac:dyDescent="0.2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_xlfn.XLOOKUP(C315,customers!$A$2:$A$1001,customers!$I$2:$I$1001)</f>
        <v>Yes</v>
      </c>
    </row>
    <row r="316" spans="1:16" x14ac:dyDescent="0.2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_xlfn.XLOOKUP(C316,customers!$A$2:$A$1001,customers!$I$2:$I$1001)</f>
        <v>No</v>
      </c>
    </row>
    <row r="317" spans="1:16" x14ac:dyDescent="0.2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_xlfn.XLOOKUP(C317,customers!$A$2:$A$1001,customers!$I$2:$I$1001)</f>
        <v>Yes</v>
      </c>
    </row>
    <row r="318" spans="1:16" x14ac:dyDescent="0.2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_xlfn.XLOOKUP(C318,customers!$A$2:$A$1001,customers!$I$2:$I$1001)</f>
        <v>No</v>
      </c>
    </row>
    <row r="319" spans="1:16" x14ac:dyDescent="0.2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_xlfn.XLOOKUP(C319,customers!$A$2:$A$1001,customers!$I$2:$I$1001)</f>
        <v>No</v>
      </c>
    </row>
    <row r="320" spans="1:16" x14ac:dyDescent="0.2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_xlfn.XLOOKUP(C320,customers!$A$2:$A$1001,customers!$I$2:$I$1001)</f>
        <v>Yes</v>
      </c>
    </row>
    <row r="321" spans="1:16" x14ac:dyDescent="0.2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_xlfn.XLOOKUP(C321,customers!$A$2:$A$1001,customers!$I$2:$I$1001)</f>
        <v>Yes</v>
      </c>
    </row>
    <row r="322" spans="1:16" x14ac:dyDescent="0.2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_xlfn.XLOOKUP(C322,customers!$A$2:$A$1001,customers!$I$2:$I$1001)</f>
        <v>Yes</v>
      </c>
    </row>
    <row r="323" spans="1:16" x14ac:dyDescent="0.2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 = "Rob","Robusta",IF(I323 = "Exc","Excelsa",IF(I323 = "Ara", "Arabica",IF(I323 = "Lib","Liberica",""))))</f>
        <v>Arabica</v>
      </c>
      <c r="O323" t="str">
        <f t="shared" ref="O323:O386" si="17">IF(J323="M","Medium",IF(J323="L","Light",IF(J323="D","Dark","")))</f>
        <v>Medium</v>
      </c>
      <c r="P323" t="str">
        <f>_xlfn.XLOOKUP(C323,customers!$A$2:$A$1001,customers!$I$2:$I$1001)</f>
        <v>Yes</v>
      </c>
    </row>
    <row r="324" spans="1:16" x14ac:dyDescent="0.2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_xlfn.XLOOKUP(C324,customers!$A$2:$A$1001,customers!$I$2:$I$1001)</f>
        <v>No</v>
      </c>
    </row>
    <row r="325" spans="1:16" x14ac:dyDescent="0.2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_xlfn.XLOOKUP(C325,customers!$A$2:$A$1001,customers!$I$2:$I$1001)</f>
        <v>Yes</v>
      </c>
    </row>
    <row r="326" spans="1:16" x14ac:dyDescent="0.2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_xlfn.XLOOKUP(C326,customers!$A$2:$A$1001,customers!$I$2:$I$1001)</f>
        <v>No</v>
      </c>
    </row>
    <row r="327" spans="1:16" x14ac:dyDescent="0.2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_xlfn.XLOOKUP(C327,customers!$A$2:$A$1001,customers!$I$2:$I$1001)</f>
        <v>Yes</v>
      </c>
    </row>
    <row r="328" spans="1:16" x14ac:dyDescent="0.2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_xlfn.XLOOKUP(C328,customers!$A$2:$A$1001,customers!$I$2:$I$1001)</f>
        <v>No</v>
      </c>
    </row>
    <row r="329" spans="1:16" x14ac:dyDescent="0.2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_xlfn.XLOOKUP(C329,customers!$A$2:$A$1001,customers!$I$2:$I$1001)</f>
        <v>Yes</v>
      </c>
    </row>
    <row r="330" spans="1:16" x14ac:dyDescent="0.2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_xlfn.XLOOKUP(C330,customers!$A$2:$A$1001,customers!$I$2:$I$1001)</f>
        <v>Yes</v>
      </c>
    </row>
    <row r="331" spans="1:16" x14ac:dyDescent="0.2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_xlfn.XLOOKUP(C331,customers!$A$2:$A$1001,customers!$I$2:$I$1001)</f>
        <v>Yes</v>
      </c>
    </row>
    <row r="332" spans="1:16" x14ac:dyDescent="0.2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_xlfn.XLOOKUP(C332,customers!$A$2:$A$1001,customers!$I$2:$I$1001)</f>
        <v>No</v>
      </c>
    </row>
    <row r="333" spans="1:16" x14ac:dyDescent="0.2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_xlfn.XLOOKUP(C333,customers!$A$2:$A$1001,customers!$I$2:$I$1001)</f>
        <v>Yes</v>
      </c>
    </row>
    <row r="334" spans="1:16" x14ac:dyDescent="0.2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_xlfn.XLOOKUP(C334,customers!$A$2:$A$1001,customers!$I$2:$I$1001)</f>
        <v>Yes</v>
      </c>
    </row>
    <row r="335" spans="1:16" x14ac:dyDescent="0.2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_xlfn.XLOOKUP(C335,customers!$A$2:$A$1001,customers!$I$2:$I$1001)</f>
        <v>Yes</v>
      </c>
    </row>
    <row r="336" spans="1:16" x14ac:dyDescent="0.2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_xlfn.XLOOKUP(C336,customers!$A$2:$A$1001,customers!$I$2:$I$1001)</f>
        <v>No</v>
      </c>
    </row>
    <row r="337" spans="1:16" x14ac:dyDescent="0.2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_xlfn.XLOOKUP(C337,customers!$A$2:$A$1001,customers!$I$2:$I$1001)</f>
        <v>Yes</v>
      </c>
    </row>
    <row r="338" spans="1:16" x14ac:dyDescent="0.2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_xlfn.XLOOKUP(C338,customers!$A$2:$A$1001,customers!$I$2:$I$1001)</f>
        <v>No</v>
      </c>
    </row>
    <row r="339" spans="1:16" x14ac:dyDescent="0.2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_xlfn.XLOOKUP(C339,customers!$A$2:$A$1001,customers!$I$2:$I$1001)</f>
        <v>No</v>
      </c>
    </row>
    <row r="340" spans="1:16" x14ac:dyDescent="0.2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_xlfn.XLOOKUP(C340,customers!$A$2:$A$1001,customers!$I$2:$I$1001)</f>
        <v>No</v>
      </c>
    </row>
    <row r="341" spans="1:16" x14ac:dyDescent="0.2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_xlfn.XLOOKUP(C341,customers!$A$2:$A$1001,customers!$I$2:$I$1001)</f>
        <v>Yes</v>
      </c>
    </row>
    <row r="342" spans="1:16" x14ac:dyDescent="0.2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_xlfn.XLOOKUP(C342,customers!$A$2:$A$1001,customers!$I$2:$I$1001)</f>
        <v>Yes</v>
      </c>
    </row>
    <row r="343" spans="1:16" x14ac:dyDescent="0.2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_xlfn.XLOOKUP(C343,customers!$A$2:$A$1001,customers!$I$2:$I$1001)</f>
        <v>No</v>
      </c>
    </row>
    <row r="344" spans="1:16" x14ac:dyDescent="0.2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_xlfn.XLOOKUP(C344,customers!$A$2:$A$1001,customers!$I$2:$I$1001)</f>
        <v>No</v>
      </c>
    </row>
    <row r="345" spans="1:16" x14ac:dyDescent="0.2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_xlfn.XLOOKUP(C345,customers!$A$2:$A$1001,customers!$I$2:$I$1001)</f>
        <v>No</v>
      </c>
    </row>
    <row r="346" spans="1:16" x14ac:dyDescent="0.2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_xlfn.XLOOKUP(C346,customers!$A$2:$A$1001,customers!$I$2:$I$1001)</f>
        <v>Yes</v>
      </c>
    </row>
    <row r="347" spans="1:16" x14ac:dyDescent="0.2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_xlfn.XLOOKUP(C347,customers!$A$2:$A$1001,customers!$I$2:$I$1001)</f>
        <v>No</v>
      </c>
    </row>
    <row r="348" spans="1:16" x14ac:dyDescent="0.2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_xlfn.XLOOKUP(C348,customers!$A$2:$A$1001,customers!$I$2:$I$1001)</f>
        <v>Yes</v>
      </c>
    </row>
    <row r="349" spans="1:16" x14ac:dyDescent="0.2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_xlfn.XLOOKUP(C349,customers!$A$2:$A$1001,customers!$I$2:$I$1001)</f>
        <v>No</v>
      </c>
    </row>
    <row r="350" spans="1:16" x14ac:dyDescent="0.2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_xlfn.XLOOKUP(C350,customers!$A$2:$A$1001,customers!$I$2:$I$1001)</f>
        <v>No</v>
      </c>
    </row>
    <row r="351" spans="1:16" x14ac:dyDescent="0.2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_xlfn.XLOOKUP(C351,customers!$A$2:$A$1001,customers!$I$2:$I$1001)</f>
        <v>No</v>
      </c>
    </row>
    <row r="352" spans="1:16" x14ac:dyDescent="0.2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_xlfn.XLOOKUP(C352,customers!$A$2:$A$1001,customers!$I$2:$I$1001)</f>
        <v>No</v>
      </c>
    </row>
    <row r="353" spans="1:16" x14ac:dyDescent="0.2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_xlfn.XLOOKUP(C353,customers!$A$2:$A$1001,customers!$I$2:$I$1001)</f>
        <v>No</v>
      </c>
    </row>
    <row r="354" spans="1:16" x14ac:dyDescent="0.2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_xlfn.XLOOKUP(C354,customers!$A$2:$A$1001,customers!$I$2:$I$1001)</f>
        <v>No</v>
      </c>
    </row>
    <row r="355" spans="1:16" x14ac:dyDescent="0.2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_xlfn.XLOOKUP(C355,customers!$A$2:$A$1001,customers!$I$2:$I$1001)</f>
        <v>Yes</v>
      </c>
    </row>
    <row r="356" spans="1:16" x14ac:dyDescent="0.2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_xlfn.XLOOKUP(C356,customers!$A$2:$A$1001,customers!$I$2:$I$1001)</f>
        <v>No</v>
      </c>
    </row>
    <row r="357" spans="1:16" x14ac:dyDescent="0.2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_xlfn.XLOOKUP(C357,customers!$A$2:$A$1001,customers!$I$2:$I$1001)</f>
        <v>Yes</v>
      </c>
    </row>
    <row r="358" spans="1:16" x14ac:dyDescent="0.2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_xlfn.XLOOKUP(C358,customers!$A$2:$A$1001,customers!$I$2:$I$1001)</f>
        <v>Yes</v>
      </c>
    </row>
    <row r="359" spans="1:16" x14ac:dyDescent="0.2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_xlfn.XLOOKUP(C359,customers!$A$2:$A$1001,customers!$I$2:$I$1001)</f>
        <v>No</v>
      </c>
    </row>
    <row r="360" spans="1:16" x14ac:dyDescent="0.2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_xlfn.XLOOKUP(C360,customers!$A$2:$A$1001,customers!$I$2:$I$1001)</f>
        <v>No</v>
      </c>
    </row>
    <row r="361" spans="1:16" x14ac:dyDescent="0.2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_xlfn.XLOOKUP(C361,customers!$A$2:$A$1001,customers!$I$2:$I$1001)</f>
        <v>No</v>
      </c>
    </row>
    <row r="362" spans="1:16" x14ac:dyDescent="0.2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_xlfn.XLOOKUP(C362,customers!$A$2:$A$1001,customers!$I$2:$I$1001)</f>
        <v>No</v>
      </c>
    </row>
    <row r="363" spans="1:16" x14ac:dyDescent="0.2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_xlfn.XLOOKUP(C363,customers!$A$2:$A$1001,customers!$I$2:$I$1001)</f>
        <v>No</v>
      </c>
    </row>
    <row r="364" spans="1:16" x14ac:dyDescent="0.2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_xlfn.XLOOKUP(C364,customers!$A$2:$A$1001,customers!$I$2:$I$1001)</f>
        <v>Yes</v>
      </c>
    </row>
    <row r="365" spans="1:16" x14ac:dyDescent="0.2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_xlfn.XLOOKUP(C365,customers!$A$2:$A$1001,customers!$I$2:$I$1001)</f>
        <v>No</v>
      </c>
    </row>
    <row r="366" spans="1:16" x14ac:dyDescent="0.2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_xlfn.XLOOKUP(C366,customers!$A$2:$A$1001,customers!$I$2:$I$1001)</f>
        <v>Yes</v>
      </c>
    </row>
    <row r="367" spans="1:16" x14ac:dyDescent="0.2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_xlfn.XLOOKUP(C367,customers!$A$2:$A$1001,customers!$I$2:$I$1001)</f>
        <v>No</v>
      </c>
    </row>
    <row r="368" spans="1:16" x14ac:dyDescent="0.2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_xlfn.XLOOKUP(C368,customers!$A$2:$A$1001,customers!$I$2:$I$1001)</f>
        <v>No</v>
      </c>
    </row>
    <row r="369" spans="1:16" x14ac:dyDescent="0.2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_xlfn.XLOOKUP(C369,customers!$A$2:$A$1001,customers!$I$2:$I$1001)</f>
        <v>Yes</v>
      </c>
    </row>
    <row r="370" spans="1:16" x14ac:dyDescent="0.2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_xlfn.XLOOKUP(C370,customers!$A$2:$A$1001,customers!$I$2:$I$1001)</f>
        <v>No</v>
      </c>
    </row>
    <row r="371" spans="1:16" x14ac:dyDescent="0.2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_xlfn.XLOOKUP(C371,customers!$A$2:$A$1001,customers!$I$2:$I$1001)</f>
        <v>Yes</v>
      </c>
    </row>
    <row r="372" spans="1:16" x14ac:dyDescent="0.2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_xlfn.XLOOKUP(C372,customers!$A$2:$A$1001,customers!$I$2:$I$1001)</f>
        <v>Yes</v>
      </c>
    </row>
    <row r="373" spans="1:16" x14ac:dyDescent="0.2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_xlfn.XLOOKUP(C373,customers!$A$2:$A$1001,customers!$I$2:$I$1001)</f>
        <v>Yes</v>
      </c>
    </row>
    <row r="374" spans="1:16" x14ac:dyDescent="0.2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_xlfn.XLOOKUP(C374,customers!$A$2:$A$1001,customers!$I$2:$I$1001)</f>
        <v>No</v>
      </c>
    </row>
    <row r="375" spans="1:16" x14ac:dyDescent="0.2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_xlfn.XLOOKUP(C375,customers!$A$2:$A$1001,customers!$I$2:$I$1001)</f>
        <v>Yes</v>
      </c>
    </row>
    <row r="376" spans="1:16" x14ac:dyDescent="0.2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_xlfn.XLOOKUP(C376,customers!$A$2:$A$1001,customers!$I$2:$I$1001)</f>
        <v>Yes</v>
      </c>
    </row>
    <row r="377" spans="1:16" x14ac:dyDescent="0.2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_xlfn.XLOOKUP(C377,customers!$A$2:$A$1001,customers!$I$2:$I$1001)</f>
        <v>Yes</v>
      </c>
    </row>
    <row r="378" spans="1:16" x14ac:dyDescent="0.2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_xlfn.XLOOKUP(C378,customers!$A$2:$A$1001,customers!$I$2:$I$1001)</f>
        <v>Yes</v>
      </c>
    </row>
    <row r="379" spans="1:16" x14ac:dyDescent="0.2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_xlfn.XLOOKUP(C379,customers!$A$2:$A$1001,customers!$I$2:$I$1001)</f>
        <v>No</v>
      </c>
    </row>
    <row r="380" spans="1:16" x14ac:dyDescent="0.2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_xlfn.XLOOKUP(C380,customers!$A$2:$A$1001,customers!$I$2:$I$1001)</f>
        <v>Yes</v>
      </c>
    </row>
    <row r="381" spans="1:16" x14ac:dyDescent="0.2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_xlfn.XLOOKUP(C381,customers!$A$2:$A$1001,customers!$I$2:$I$1001)</f>
        <v>Yes</v>
      </c>
    </row>
    <row r="382" spans="1:16" x14ac:dyDescent="0.2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_xlfn.XLOOKUP(C382,customers!$A$2:$A$1001,customers!$I$2:$I$1001)</f>
        <v>No</v>
      </c>
    </row>
    <row r="383" spans="1:16" x14ac:dyDescent="0.2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_xlfn.XLOOKUP(C383,customers!$A$2:$A$1001,customers!$I$2:$I$1001)</f>
        <v>Yes</v>
      </c>
    </row>
    <row r="384" spans="1:16" x14ac:dyDescent="0.2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_xlfn.XLOOKUP(C384,customers!$A$2:$A$1001,customers!$I$2:$I$1001)</f>
        <v>No</v>
      </c>
    </row>
    <row r="385" spans="1:16" x14ac:dyDescent="0.2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_xlfn.XLOOKUP(C385,customers!$A$2:$A$1001,customers!$I$2:$I$1001)</f>
        <v>Yes</v>
      </c>
    </row>
    <row r="386" spans="1:16" x14ac:dyDescent="0.2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_xlfn.XLOOKUP(C386,customers!$A$2:$A$1001,customers!$I$2:$I$1001)</f>
        <v>No</v>
      </c>
    </row>
    <row r="387" spans="1:16" x14ac:dyDescent="0.2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 = "Rob","Robusta",IF(I387 = "Exc","Excelsa",IF(I387 = "Ara", "Arabica",IF(I387 = "Lib","Liberica",""))))</f>
        <v>Liberica</v>
      </c>
      <c r="O387" t="str">
        <f t="shared" ref="O387:O450" si="20">IF(J387="M","Medium",IF(J387="L","Light",IF(J387="D","Dark","")))</f>
        <v>Medium</v>
      </c>
      <c r="P387" t="str">
        <f>_xlfn.XLOOKUP(C387,customers!$A$2:$A$1001,customers!$I$2:$I$1001)</f>
        <v>Yes</v>
      </c>
    </row>
    <row r="388" spans="1:16" x14ac:dyDescent="0.2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_xlfn.XLOOKUP(C388,customers!$A$2:$A$1001,customers!$I$2:$I$1001)</f>
        <v>Yes</v>
      </c>
    </row>
    <row r="389" spans="1:16" x14ac:dyDescent="0.2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_xlfn.XLOOKUP(C389,customers!$A$2:$A$1001,customers!$I$2:$I$1001)</f>
        <v>Yes</v>
      </c>
    </row>
    <row r="390" spans="1:16" x14ac:dyDescent="0.2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_xlfn.XLOOKUP(C390,customers!$A$2:$A$1001,customers!$I$2:$I$1001)</f>
        <v>Yes</v>
      </c>
    </row>
    <row r="391" spans="1:16" x14ac:dyDescent="0.2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_xlfn.XLOOKUP(C391,customers!$A$2:$A$1001,customers!$I$2:$I$1001)</f>
        <v>Yes</v>
      </c>
    </row>
    <row r="392" spans="1:16" x14ac:dyDescent="0.2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_xlfn.XLOOKUP(C392,customers!$A$2:$A$1001,customers!$I$2:$I$1001)</f>
        <v>Yes</v>
      </c>
    </row>
    <row r="393" spans="1:16" x14ac:dyDescent="0.2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_xlfn.XLOOKUP(C393,customers!$A$2:$A$1001,customers!$I$2:$I$1001)</f>
        <v>No</v>
      </c>
    </row>
    <row r="394" spans="1:16" x14ac:dyDescent="0.2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_xlfn.XLOOKUP(C394,customers!$A$2:$A$1001,customers!$I$2:$I$1001)</f>
        <v>No</v>
      </c>
    </row>
    <row r="395" spans="1:16" x14ac:dyDescent="0.2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_xlfn.XLOOKUP(C395,customers!$A$2:$A$1001,customers!$I$2:$I$1001)</f>
        <v>No</v>
      </c>
    </row>
    <row r="396" spans="1:16" x14ac:dyDescent="0.2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_xlfn.XLOOKUP(C396,customers!$A$2:$A$1001,customers!$I$2:$I$1001)</f>
        <v>No</v>
      </c>
    </row>
    <row r="397" spans="1:16" x14ac:dyDescent="0.2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_xlfn.XLOOKUP(C397,customers!$A$2:$A$1001,customers!$I$2:$I$1001)</f>
        <v>Yes</v>
      </c>
    </row>
    <row r="398" spans="1:16" x14ac:dyDescent="0.2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_xlfn.XLOOKUP(C398,customers!$A$2:$A$1001,customers!$I$2:$I$1001)</f>
        <v>No</v>
      </c>
    </row>
    <row r="399" spans="1:16" x14ac:dyDescent="0.2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_xlfn.XLOOKUP(C399,customers!$A$2:$A$1001,customers!$I$2:$I$1001)</f>
        <v>Yes</v>
      </c>
    </row>
    <row r="400" spans="1:16" x14ac:dyDescent="0.2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_xlfn.XLOOKUP(C400,customers!$A$2:$A$1001,customers!$I$2:$I$1001)</f>
        <v>Yes</v>
      </c>
    </row>
    <row r="401" spans="1:16" x14ac:dyDescent="0.2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_xlfn.XLOOKUP(C401,customers!$A$2:$A$1001,customers!$I$2:$I$1001)</f>
        <v>No</v>
      </c>
    </row>
    <row r="402" spans="1:16" x14ac:dyDescent="0.2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_xlfn.XLOOKUP(C402,customers!$A$2:$A$1001,customers!$I$2:$I$1001)</f>
        <v>No</v>
      </c>
    </row>
    <row r="403" spans="1:16" x14ac:dyDescent="0.2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_xlfn.XLOOKUP(C403,customers!$A$2:$A$1001,customers!$I$2:$I$1001)</f>
        <v>Yes</v>
      </c>
    </row>
    <row r="404" spans="1:16" x14ac:dyDescent="0.2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_xlfn.XLOOKUP(C404,customers!$A$2:$A$1001,customers!$I$2:$I$1001)</f>
        <v>Yes</v>
      </c>
    </row>
    <row r="405" spans="1:16" x14ac:dyDescent="0.2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_xlfn.XLOOKUP(C405,customers!$A$2:$A$1001,customers!$I$2:$I$1001)</f>
        <v>No</v>
      </c>
    </row>
    <row r="406" spans="1:16" x14ac:dyDescent="0.2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_xlfn.XLOOKUP(C406,customers!$A$2:$A$1001,customers!$I$2:$I$1001)</f>
        <v>No</v>
      </c>
    </row>
    <row r="407" spans="1:16" x14ac:dyDescent="0.2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_xlfn.XLOOKUP(C407,customers!$A$2:$A$1001,customers!$I$2:$I$1001)</f>
        <v>Yes</v>
      </c>
    </row>
    <row r="408" spans="1:16" x14ac:dyDescent="0.2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_xlfn.XLOOKUP(C408,customers!$A$2:$A$1001,customers!$I$2:$I$1001)</f>
        <v>Yes</v>
      </c>
    </row>
    <row r="409" spans="1:16" x14ac:dyDescent="0.2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_xlfn.XLOOKUP(C409,customers!$A$2:$A$1001,customers!$I$2:$I$1001)</f>
        <v>No</v>
      </c>
    </row>
    <row r="410" spans="1:16" x14ac:dyDescent="0.2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_xlfn.XLOOKUP(C410,customers!$A$2:$A$1001,customers!$I$2:$I$1001)</f>
        <v>Yes</v>
      </c>
    </row>
    <row r="411" spans="1:16" x14ac:dyDescent="0.2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_xlfn.XLOOKUP(C411,customers!$A$2:$A$1001,customers!$I$2:$I$1001)</f>
        <v>Yes</v>
      </c>
    </row>
    <row r="412" spans="1:16" x14ac:dyDescent="0.2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_xlfn.XLOOKUP(C412,customers!$A$2:$A$1001,customers!$I$2:$I$1001)</f>
        <v>No</v>
      </c>
    </row>
    <row r="413" spans="1:16" x14ac:dyDescent="0.2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_xlfn.XLOOKUP(C413,customers!$A$2:$A$1001,customers!$I$2:$I$1001)</f>
        <v>Yes</v>
      </c>
    </row>
    <row r="414" spans="1:16" x14ac:dyDescent="0.2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_xlfn.XLOOKUP(C414,customers!$A$2:$A$1001,customers!$I$2:$I$1001)</f>
        <v>Yes</v>
      </c>
    </row>
    <row r="415" spans="1:16" x14ac:dyDescent="0.2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_xlfn.XLOOKUP(C415,customers!$A$2:$A$1001,customers!$I$2:$I$1001)</f>
        <v>Yes</v>
      </c>
    </row>
    <row r="416" spans="1:16" x14ac:dyDescent="0.2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_xlfn.XLOOKUP(C416,customers!$A$2:$A$1001,customers!$I$2:$I$1001)</f>
        <v>Yes</v>
      </c>
    </row>
    <row r="417" spans="1:16" x14ac:dyDescent="0.2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_xlfn.XLOOKUP(C417,customers!$A$2:$A$1001,customers!$I$2:$I$1001)</f>
        <v>No</v>
      </c>
    </row>
    <row r="418" spans="1:16" x14ac:dyDescent="0.2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_xlfn.XLOOKUP(C418,customers!$A$2:$A$1001,customers!$I$2:$I$1001)</f>
        <v>Yes</v>
      </c>
    </row>
    <row r="419" spans="1:16" x14ac:dyDescent="0.2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_xlfn.XLOOKUP(C419,customers!$A$2:$A$1001,customers!$I$2:$I$1001)</f>
        <v>Yes</v>
      </c>
    </row>
    <row r="420" spans="1:16" x14ac:dyDescent="0.2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_xlfn.XLOOKUP(C420,customers!$A$2:$A$1001,customers!$I$2:$I$1001)</f>
        <v>Yes</v>
      </c>
    </row>
    <row r="421" spans="1:16" x14ac:dyDescent="0.2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_xlfn.XLOOKUP(C421,customers!$A$2:$A$1001,customers!$I$2:$I$1001)</f>
        <v>Yes</v>
      </c>
    </row>
    <row r="422" spans="1:16" x14ac:dyDescent="0.2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_xlfn.XLOOKUP(C422,customers!$A$2:$A$1001,customers!$I$2:$I$1001)</f>
        <v>No</v>
      </c>
    </row>
    <row r="423" spans="1:16" x14ac:dyDescent="0.2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_xlfn.XLOOKUP(C423,customers!$A$2:$A$1001,customers!$I$2:$I$1001)</f>
        <v>No</v>
      </c>
    </row>
    <row r="424" spans="1:16" x14ac:dyDescent="0.2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_xlfn.XLOOKUP(C424,customers!$A$2:$A$1001,customers!$I$2:$I$1001)</f>
        <v>No</v>
      </c>
    </row>
    <row r="425" spans="1:16" x14ac:dyDescent="0.2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_xlfn.XLOOKUP(C425,customers!$A$2:$A$1001,customers!$I$2:$I$1001)</f>
        <v>No</v>
      </c>
    </row>
    <row r="426" spans="1:16" x14ac:dyDescent="0.2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_xlfn.XLOOKUP(C426,customers!$A$2:$A$1001,customers!$I$2:$I$1001)</f>
        <v>Yes</v>
      </c>
    </row>
    <row r="427" spans="1:16" x14ac:dyDescent="0.2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_xlfn.XLOOKUP(C427,customers!$A$2:$A$1001,customers!$I$2:$I$1001)</f>
        <v>No</v>
      </c>
    </row>
    <row r="428" spans="1:16" x14ac:dyDescent="0.2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_xlfn.XLOOKUP(C428,customers!$A$2:$A$1001,customers!$I$2:$I$1001)</f>
        <v>Yes</v>
      </c>
    </row>
    <row r="429" spans="1:16" x14ac:dyDescent="0.2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_xlfn.XLOOKUP(C429,customers!$A$2:$A$1001,customers!$I$2:$I$1001)</f>
        <v>Yes</v>
      </c>
    </row>
    <row r="430" spans="1:16" x14ac:dyDescent="0.2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_xlfn.XLOOKUP(C430,customers!$A$2:$A$1001,customers!$I$2:$I$1001)</f>
        <v>No</v>
      </c>
    </row>
    <row r="431" spans="1:16" x14ac:dyDescent="0.2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_xlfn.XLOOKUP(C431,customers!$A$2:$A$1001,customers!$I$2:$I$1001)</f>
        <v>No</v>
      </c>
    </row>
    <row r="432" spans="1:16" x14ac:dyDescent="0.2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_xlfn.XLOOKUP(C432,customers!$A$2:$A$1001,customers!$I$2:$I$1001)</f>
        <v>Yes</v>
      </c>
    </row>
    <row r="433" spans="1:16" x14ac:dyDescent="0.2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_xlfn.XLOOKUP(C433,customers!$A$2:$A$1001,customers!$I$2:$I$1001)</f>
        <v>Yes</v>
      </c>
    </row>
    <row r="434" spans="1:16" x14ac:dyDescent="0.2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_xlfn.XLOOKUP(C434,customers!$A$2:$A$1001,customers!$I$2:$I$1001)</f>
        <v>No</v>
      </c>
    </row>
    <row r="435" spans="1:16" x14ac:dyDescent="0.2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_xlfn.XLOOKUP(C435,customers!$A$2:$A$1001,customers!$I$2:$I$1001)</f>
        <v>Yes</v>
      </c>
    </row>
    <row r="436" spans="1:16" x14ac:dyDescent="0.2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_xlfn.XLOOKUP(C436,customers!$A$2:$A$1001,customers!$I$2:$I$1001)</f>
        <v>No</v>
      </c>
    </row>
    <row r="437" spans="1:16" x14ac:dyDescent="0.2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_xlfn.XLOOKUP(C437,customers!$A$2:$A$1001,customers!$I$2:$I$1001)</f>
        <v>No</v>
      </c>
    </row>
    <row r="438" spans="1:16" x14ac:dyDescent="0.2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_xlfn.XLOOKUP(C438,customers!$A$2:$A$1001,customers!$I$2:$I$1001)</f>
        <v>Yes</v>
      </c>
    </row>
    <row r="439" spans="1:16" x14ac:dyDescent="0.2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_xlfn.XLOOKUP(C439,customers!$A$2:$A$1001,customers!$I$2:$I$1001)</f>
        <v>No</v>
      </c>
    </row>
    <row r="440" spans="1:16" x14ac:dyDescent="0.2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_xlfn.XLOOKUP(C440,customers!$A$2:$A$1001,customers!$I$2:$I$1001)</f>
        <v>No</v>
      </c>
    </row>
    <row r="441" spans="1:16" x14ac:dyDescent="0.2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_xlfn.XLOOKUP(C441,customers!$A$2:$A$1001,customers!$I$2:$I$1001)</f>
        <v>No</v>
      </c>
    </row>
    <row r="442" spans="1:16" x14ac:dyDescent="0.2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_xlfn.XLOOKUP(C442,customers!$A$2:$A$1001,customers!$I$2:$I$1001)</f>
        <v>Yes</v>
      </c>
    </row>
    <row r="443" spans="1:16" x14ac:dyDescent="0.2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_xlfn.XLOOKUP(C443,customers!$A$2:$A$1001,customers!$I$2:$I$1001)</f>
        <v>Yes</v>
      </c>
    </row>
    <row r="444" spans="1:16" x14ac:dyDescent="0.2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_xlfn.XLOOKUP(C444,customers!$A$2:$A$1001,customers!$I$2:$I$1001)</f>
        <v>No</v>
      </c>
    </row>
    <row r="445" spans="1:16" x14ac:dyDescent="0.2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_xlfn.XLOOKUP(C445,customers!$A$2:$A$1001,customers!$I$2:$I$1001)</f>
        <v>Yes</v>
      </c>
    </row>
    <row r="446" spans="1:16" x14ac:dyDescent="0.2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_xlfn.XLOOKUP(C446,customers!$A$2:$A$1001,customers!$I$2:$I$1001)</f>
        <v>No</v>
      </c>
    </row>
    <row r="447" spans="1:16" x14ac:dyDescent="0.2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_xlfn.XLOOKUP(C447,customers!$A$2:$A$1001,customers!$I$2:$I$1001)</f>
        <v>Yes</v>
      </c>
    </row>
    <row r="448" spans="1:16" x14ac:dyDescent="0.2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_xlfn.XLOOKUP(C448,customers!$A$2:$A$1001,customers!$I$2:$I$1001)</f>
        <v>Yes</v>
      </c>
    </row>
    <row r="449" spans="1:16" x14ac:dyDescent="0.2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_xlfn.XLOOKUP(C449,customers!$A$2:$A$1001,customers!$I$2:$I$1001)</f>
        <v>No</v>
      </c>
    </row>
    <row r="450" spans="1:16" x14ac:dyDescent="0.2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_xlfn.XLOOKUP(C450,customers!$A$2:$A$1001,customers!$I$2:$I$1001)</f>
        <v>No</v>
      </c>
    </row>
    <row r="451" spans="1:16" x14ac:dyDescent="0.2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 = "Rob","Robusta",IF(I451 = "Exc","Excelsa",IF(I451 = "Ara", "Arabica",IF(I451 = "Lib","Liberica",""))))</f>
        <v>Robusta</v>
      </c>
      <c r="O451" t="str">
        <f t="shared" ref="O451:O514" si="23">IF(J451="M","Medium",IF(J451="L","Light",IF(J451="D","Dark","")))</f>
        <v>Dark</v>
      </c>
      <c r="P451" t="str">
        <f>_xlfn.XLOOKUP(C451,customers!$A$2:$A$1001,customers!$I$2:$I$1001)</f>
        <v>No</v>
      </c>
    </row>
    <row r="452" spans="1:16" x14ac:dyDescent="0.2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_xlfn.XLOOKUP(C452,customers!$A$2:$A$1001,customers!$I$2:$I$1001)</f>
        <v>No</v>
      </c>
    </row>
    <row r="453" spans="1:16" x14ac:dyDescent="0.2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_xlfn.XLOOKUP(C453,customers!$A$2:$A$1001,customers!$I$2:$I$1001)</f>
        <v>Yes</v>
      </c>
    </row>
    <row r="454" spans="1:16" x14ac:dyDescent="0.2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_xlfn.XLOOKUP(C454,customers!$A$2:$A$1001,customers!$I$2:$I$1001)</f>
        <v>No</v>
      </c>
    </row>
    <row r="455" spans="1:16" x14ac:dyDescent="0.2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_xlfn.XLOOKUP(C455,customers!$A$2:$A$1001,customers!$I$2:$I$1001)</f>
        <v>No</v>
      </c>
    </row>
    <row r="456" spans="1:16" x14ac:dyDescent="0.2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_xlfn.XLOOKUP(C456,customers!$A$2:$A$1001,customers!$I$2:$I$1001)</f>
        <v>Yes</v>
      </c>
    </row>
    <row r="457" spans="1:16" x14ac:dyDescent="0.2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_xlfn.XLOOKUP(C457,customers!$A$2:$A$1001,customers!$I$2:$I$1001)</f>
        <v>Yes</v>
      </c>
    </row>
    <row r="458" spans="1:16" x14ac:dyDescent="0.2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_xlfn.XLOOKUP(C458,customers!$A$2:$A$1001,customers!$I$2:$I$1001)</f>
        <v>No</v>
      </c>
    </row>
    <row r="459" spans="1:16" x14ac:dyDescent="0.2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_xlfn.XLOOKUP(C459,customers!$A$2:$A$1001,customers!$I$2:$I$1001)</f>
        <v>No</v>
      </c>
    </row>
    <row r="460" spans="1:16" x14ac:dyDescent="0.2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_xlfn.XLOOKUP(C460,customers!$A$2:$A$1001,customers!$I$2:$I$1001)</f>
        <v>No</v>
      </c>
    </row>
    <row r="461" spans="1:16" x14ac:dyDescent="0.2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_xlfn.XLOOKUP(C461,customers!$A$2:$A$1001,customers!$I$2:$I$1001)</f>
        <v>No</v>
      </c>
    </row>
    <row r="462" spans="1:16" x14ac:dyDescent="0.2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_xlfn.XLOOKUP(C462,customers!$A$2:$A$1001,customers!$I$2:$I$1001)</f>
        <v>Yes</v>
      </c>
    </row>
    <row r="463" spans="1:16" x14ac:dyDescent="0.2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_xlfn.XLOOKUP(C463,customers!$A$2:$A$1001,customers!$I$2:$I$1001)</f>
        <v>Yes</v>
      </c>
    </row>
    <row r="464" spans="1:16" x14ac:dyDescent="0.2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_xlfn.XLOOKUP(C464,customers!$A$2:$A$1001,customers!$I$2:$I$1001)</f>
        <v>Yes</v>
      </c>
    </row>
    <row r="465" spans="1:16" x14ac:dyDescent="0.2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_xlfn.XLOOKUP(C465,customers!$A$2:$A$1001,customers!$I$2:$I$1001)</f>
        <v>No</v>
      </c>
    </row>
    <row r="466" spans="1:16" x14ac:dyDescent="0.2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_xlfn.XLOOKUP(C466,customers!$A$2:$A$1001,customers!$I$2:$I$1001)</f>
        <v>No</v>
      </c>
    </row>
    <row r="467" spans="1:16" x14ac:dyDescent="0.2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_xlfn.XLOOKUP(C467,customers!$A$2:$A$1001,customers!$I$2:$I$1001)</f>
        <v>Yes</v>
      </c>
    </row>
    <row r="468" spans="1:16" x14ac:dyDescent="0.2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_xlfn.XLOOKUP(C468,customers!$A$2:$A$1001,customers!$I$2:$I$1001)</f>
        <v>Yes</v>
      </c>
    </row>
    <row r="469" spans="1:16" x14ac:dyDescent="0.2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_xlfn.XLOOKUP(C469,customers!$A$2:$A$1001,customers!$I$2:$I$1001)</f>
        <v>No</v>
      </c>
    </row>
    <row r="470" spans="1:16" x14ac:dyDescent="0.2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_xlfn.XLOOKUP(C470,customers!$A$2:$A$1001,customers!$I$2:$I$1001)</f>
        <v>Yes</v>
      </c>
    </row>
    <row r="471" spans="1:16" x14ac:dyDescent="0.2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_xlfn.XLOOKUP(C471,customers!$A$2:$A$1001,customers!$I$2:$I$1001)</f>
        <v>Yes</v>
      </c>
    </row>
    <row r="472" spans="1:16" x14ac:dyDescent="0.2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_xlfn.XLOOKUP(C472,customers!$A$2:$A$1001,customers!$I$2:$I$1001)</f>
        <v>Yes</v>
      </c>
    </row>
    <row r="473" spans="1:16" x14ac:dyDescent="0.2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_xlfn.XLOOKUP(C473,customers!$A$2:$A$1001,customers!$I$2:$I$1001)</f>
        <v>Yes</v>
      </c>
    </row>
    <row r="474" spans="1:16" x14ac:dyDescent="0.2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_xlfn.XLOOKUP(C474,customers!$A$2:$A$1001,customers!$I$2:$I$1001)</f>
        <v>No</v>
      </c>
    </row>
    <row r="475" spans="1:16" x14ac:dyDescent="0.2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_xlfn.XLOOKUP(C475,customers!$A$2:$A$1001,customers!$I$2:$I$1001)</f>
        <v>No</v>
      </c>
    </row>
    <row r="476" spans="1:16" x14ac:dyDescent="0.2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_xlfn.XLOOKUP(C476,customers!$A$2:$A$1001,customers!$I$2:$I$1001)</f>
        <v>Yes</v>
      </c>
    </row>
    <row r="477" spans="1:16" x14ac:dyDescent="0.2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_xlfn.XLOOKUP(C477,customers!$A$2:$A$1001,customers!$I$2:$I$1001)</f>
        <v>No</v>
      </c>
    </row>
    <row r="478" spans="1:16" x14ac:dyDescent="0.2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_xlfn.XLOOKUP(C478,customers!$A$2:$A$1001,customers!$I$2:$I$1001)</f>
        <v>Yes</v>
      </c>
    </row>
    <row r="479" spans="1:16" x14ac:dyDescent="0.2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_xlfn.XLOOKUP(C479,customers!$A$2:$A$1001,customers!$I$2:$I$1001)</f>
        <v>No</v>
      </c>
    </row>
    <row r="480" spans="1:16" x14ac:dyDescent="0.2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_xlfn.XLOOKUP(C480,customers!$A$2:$A$1001,customers!$I$2:$I$1001)</f>
        <v>Yes</v>
      </c>
    </row>
    <row r="481" spans="1:16" x14ac:dyDescent="0.2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_xlfn.XLOOKUP(C481,customers!$A$2:$A$1001,customers!$I$2:$I$1001)</f>
        <v>Yes</v>
      </c>
    </row>
    <row r="482" spans="1:16" x14ac:dyDescent="0.2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_xlfn.XLOOKUP(C482,customers!$A$2:$A$1001,customers!$I$2:$I$1001)</f>
        <v>Yes</v>
      </c>
    </row>
    <row r="483" spans="1:16" x14ac:dyDescent="0.2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_xlfn.XLOOKUP(C483,customers!$A$2:$A$1001,customers!$I$2:$I$1001)</f>
        <v>No</v>
      </c>
    </row>
    <row r="484" spans="1:16" x14ac:dyDescent="0.2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_xlfn.XLOOKUP(C484,customers!$A$2:$A$1001,customers!$I$2:$I$1001)</f>
        <v>Yes</v>
      </c>
    </row>
    <row r="485" spans="1:16" x14ac:dyDescent="0.2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_xlfn.XLOOKUP(C485,customers!$A$2:$A$1001,customers!$I$2:$I$1001)</f>
        <v>Yes</v>
      </c>
    </row>
    <row r="486" spans="1:16" x14ac:dyDescent="0.2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_xlfn.XLOOKUP(C486,customers!$A$2:$A$1001,customers!$I$2:$I$1001)</f>
        <v>No</v>
      </c>
    </row>
    <row r="487" spans="1:16" x14ac:dyDescent="0.2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_xlfn.XLOOKUP(C487,customers!$A$2:$A$1001,customers!$I$2:$I$1001)</f>
        <v>Yes</v>
      </c>
    </row>
    <row r="488" spans="1:16" x14ac:dyDescent="0.2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_xlfn.XLOOKUP(C488,customers!$A$2:$A$1001,customers!$I$2:$I$1001)</f>
        <v>Yes</v>
      </c>
    </row>
    <row r="489" spans="1:16" x14ac:dyDescent="0.2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_xlfn.XLOOKUP(C489,customers!$A$2:$A$1001,customers!$I$2:$I$1001)</f>
        <v>No</v>
      </c>
    </row>
    <row r="490" spans="1:16" x14ac:dyDescent="0.2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_xlfn.XLOOKUP(C490,customers!$A$2:$A$1001,customers!$I$2:$I$1001)</f>
        <v>Yes</v>
      </c>
    </row>
    <row r="491" spans="1:16" x14ac:dyDescent="0.2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_xlfn.XLOOKUP(C491,customers!$A$2:$A$1001,customers!$I$2:$I$1001)</f>
        <v>No</v>
      </c>
    </row>
    <row r="492" spans="1:16" x14ac:dyDescent="0.2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_xlfn.XLOOKUP(C492,customers!$A$2:$A$1001,customers!$I$2:$I$1001)</f>
        <v>No</v>
      </c>
    </row>
    <row r="493" spans="1:16" x14ac:dyDescent="0.2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_xlfn.XLOOKUP(C493,customers!$A$2:$A$1001,customers!$I$2:$I$1001)</f>
        <v>No</v>
      </c>
    </row>
    <row r="494" spans="1:16" x14ac:dyDescent="0.2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_xlfn.XLOOKUP(C494,customers!$A$2:$A$1001,customers!$I$2:$I$1001)</f>
        <v>Yes</v>
      </c>
    </row>
    <row r="495" spans="1:16" x14ac:dyDescent="0.2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_xlfn.XLOOKUP(C495,customers!$A$2:$A$1001,customers!$I$2:$I$1001)</f>
        <v>No</v>
      </c>
    </row>
    <row r="496" spans="1:16" x14ac:dyDescent="0.2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_xlfn.XLOOKUP(C496,customers!$A$2:$A$1001,customers!$I$2:$I$1001)</f>
        <v>No</v>
      </c>
    </row>
    <row r="497" spans="1:16" x14ac:dyDescent="0.2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_xlfn.XLOOKUP(C497,customers!$A$2:$A$1001,customers!$I$2:$I$1001)</f>
        <v>Yes</v>
      </c>
    </row>
    <row r="498" spans="1:16" x14ac:dyDescent="0.2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_xlfn.XLOOKUP(C498,customers!$A$2:$A$1001,customers!$I$2:$I$1001)</f>
        <v>No</v>
      </c>
    </row>
    <row r="499" spans="1:16" x14ac:dyDescent="0.2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_xlfn.XLOOKUP(C499,customers!$A$2:$A$1001,customers!$I$2:$I$1001)</f>
        <v>No</v>
      </c>
    </row>
    <row r="500" spans="1:16" x14ac:dyDescent="0.2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_xlfn.XLOOKUP(C500,customers!$A$2:$A$1001,customers!$I$2:$I$1001)</f>
        <v>Yes</v>
      </c>
    </row>
    <row r="501" spans="1:16" x14ac:dyDescent="0.2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_xlfn.XLOOKUP(C501,customers!$A$2:$A$1001,customers!$I$2:$I$1001)</f>
        <v>Yes</v>
      </c>
    </row>
    <row r="502" spans="1:16" x14ac:dyDescent="0.2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_xlfn.XLOOKUP(C502,customers!$A$2:$A$1001,customers!$I$2:$I$1001)</f>
        <v>No</v>
      </c>
    </row>
    <row r="503" spans="1:16" x14ac:dyDescent="0.2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_xlfn.XLOOKUP(C503,customers!$A$2:$A$1001,customers!$I$2:$I$1001)</f>
        <v>No</v>
      </c>
    </row>
    <row r="504" spans="1:16" x14ac:dyDescent="0.2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_xlfn.XLOOKUP(C504,customers!$A$2:$A$1001,customers!$I$2:$I$1001)</f>
        <v>No</v>
      </c>
    </row>
    <row r="505" spans="1:16" x14ac:dyDescent="0.2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_xlfn.XLOOKUP(C505,customers!$A$2:$A$1001,customers!$I$2:$I$1001)</f>
        <v>No</v>
      </c>
    </row>
    <row r="506" spans="1:16" x14ac:dyDescent="0.2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_xlfn.XLOOKUP(C506,customers!$A$2:$A$1001,customers!$I$2:$I$1001)</f>
        <v>No</v>
      </c>
    </row>
    <row r="507" spans="1:16" x14ac:dyDescent="0.2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_xlfn.XLOOKUP(C507,customers!$A$2:$A$1001,customers!$I$2:$I$1001)</f>
        <v>No</v>
      </c>
    </row>
    <row r="508" spans="1:16" x14ac:dyDescent="0.2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_xlfn.XLOOKUP(C508,customers!$A$2:$A$1001,customers!$I$2:$I$1001)</f>
        <v>Yes</v>
      </c>
    </row>
    <row r="509" spans="1:16" x14ac:dyDescent="0.2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_xlfn.XLOOKUP(C509,customers!$A$2:$A$1001,customers!$I$2:$I$1001)</f>
        <v>Yes</v>
      </c>
    </row>
    <row r="510" spans="1:16" x14ac:dyDescent="0.2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_xlfn.XLOOKUP(C510,customers!$A$2:$A$1001,customers!$I$2:$I$1001)</f>
        <v>No</v>
      </c>
    </row>
    <row r="511" spans="1:16" x14ac:dyDescent="0.2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_xlfn.XLOOKUP(C511,customers!$A$2:$A$1001,customers!$I$2:$I$1001)</f>
        <v>Yes</v>
      </c>
    </row>
    <row r="512" spans="1:16" x14ac:dyDescent="0.2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_xlfn.XLOOKUP(C512,customers!$A$2:$A$1001,customers!$I$2:$I$1001)</f>
        <v>Yes</v>
      </c>
    </row>
    <row r="513" spans="1:16" x14ac:dyDescent="0.2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_xlfn.XLOOKUP(C513,customers!$A$2:$A$1001,customers!$I$2:$I$1001)</f>
        <v>Yes</v>
      </c>
    </row>
    <row r="514" spans="1:16" x14ac:dyDescent="0.2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_xlfn.XLOOKUP(C514,customers!$A$2:$A$1001,customers!$I$2:$I$1001)</f>
        <v>No</v>
      </c>
    </row>
    <row r="515" spans="1:16" x14ac:dyDescent="0.2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 = "Rob","Robusta",IF(I515 = "Exc","Excelsa",IF(I515 = "Ara", "Arabica",IF(I515 = "Lib","Liberica",""))))</f>
        <v>Liberica</v>
      </c>
      <c r="O515" t="str">
        <f t="shared" ref="O515:O578" si="26">IF(J515="M","Medium",IF(J515="L","Light",IF(J515="D","Dark","")))</f>
        <v>Light</v>
      </c>
      <c r="P515" t="str">
        <f>_xlfn.XLOOKUP(C515,customers!$A$2:$A$1001,customers!$I$2:$I$1001)</f>
        <v>No</v>
      </c>
    </row>
    <row r="516" spans="1:16" x14ac:dyDescent="0.2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_xlfn.XLOOKUP(C516,customers!$A$2:$A$1001,customers!$I$2:$I$1001)</f>
        <v>Yes</v>
      </c>
    </row>
    <row r="517" spans="1:16" x14ac:dyDescent="0.2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_xlfn.XLOOKUP(C517,customers!$A$2:$A$1001,customers!$I$2:$I$1001)</f>
        <v>No</v>
      </c>
    </row>
    <row r="518" spans="1:16" x14ac:dyDescent="0.2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_xlfn.XLOOKUP(C518,customers!$A$2:$A$1001,customers!$I$2:$I$1001)</f>
        <v>Yes</v>
      </c>
    </row>
    <row r="519" spans="1:16" x14ac:dyDescent="0.2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_xlfn.XLOOKUP(C519,customers!$A$2:$A$1001,customers!$I$2:$I$1001)</f>
        <v>No</v>
      </c>
    </row>
    <row r="520" spans="1:16" x14ac:dyDescent="0.2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_xlfn.XLOOKUP(C520,customers!$A$2:$A$1001,customers!$I$2:$I$1001)</f>
        <v>No</v>
      </c>
    </row>
    <row r="521" spans="1:16" x14ac:dyDescent="0.2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_xlfn.XLOOKUP(C521,customers!$A$2:$A$1001,customers!$I$2:$I$1001)</f>
        <v>Yes</v>
      </c>
    </row>
    <row r="522" spans="1:16" x14ac:dyDescent="0.2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_xlfn.XLOOKUP(C522,customers!$A$2:$A$1001,customers!$I$2:$I$1001)</f>
        <v>No</v>
      </c>
    </row>
    <row r="523" spans="1:16" x14ac:dyDescent="0.2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_xlfn.XLOOKUP(C523,customers!$A$2:$A$1001,customers!$I$2:$I$1001)</f>
        <v>No</v>
      </c>
    </row>
    <row r="524" spans="1:16" x14ac:dyDescent="0.2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_xlfn.XLOOKUP(C524,customers!$A$2:$A$1001,customers!$I$2:$I$1001)</f>
        <v>No</v>
      </c>
    </row>
    <row r="525" spans="1:16" x14ac:dyDescent="0.2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_xlfn.XLOOKUP(C525,customers!$A$2:$A$1001,customers!$I$2:$I$1001)</f>
        <v>No</v>
      </c>
    </row>
    <row r="526" spans="1:16" x14ac:dyDescent="0.2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_xlfn.XLOOKUP(C526,customers!$A$2:$A$1001,customers!$I$2:$I$1001)</f>
        <v>No</v>
      </c>
    </row>
    <row r="527" spans="1:16" x14ac:dyDescent="0.2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_xlfn.XLOOKUP(C527,customers!$A$2:$A$1001,customers!$I$2:$I$1001)</f>
        <v>Yes</v>
      </c>
    </row>
    <row r="528" spans="1:16" x14ac:dyDescent="0.2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_xlfn.XLOOKUP(C528,customers!$A$2:$A$1001,customers!$I$2:$I$1001)</f>
        <v>Yes</v>
      </c>
    </row>
    <row r="529" spans="1:16" x14ac:dyDescent="0.2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_xlfn.XLOOKUP(C529,customers!$A$2:$A$1001,customers!$I$2:$I$1001)</f>
        <v>No</v>
      </c>
    </row>
    <row r="530" spans="1:16" x14ac:dyDescent="0.2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_xlfn.XLOOKUP(C530,customers!$A$2:$A$1001,customers!$I$2:$I$1001)</f>
        <v>No</v>
      </c>
    </row>
    <row r="531" spans="1:16" x14ac:dyDescent="0.2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_xlfn.XLOOKUP(C531,customers!$A$2:$A$1001,customers!$I$2:$I$1001)</f>
        <v>No</v>
      </c>
    </row>
    <row r="532" spans="1:16" x14ac:dyDescent="0.2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_xlfn.XLOOKUP(C532,customers!$A$2:$A$1001,customers!$I$2:$I$1001)</f>
        <v>No</v>
      </c>
    </row>
    <row r="533" spans="1:16" x14ac:dyDescent="0.2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_xlfn.XLOOKUP(C533,customers!$A$2:$A$1001,customers!$I$2:$I$1001)</f>
        <v>No</v>
      </c>
    </row>
    <row r="534" spans="1:16" x14ac:dyDescent="0.2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_xlfn.XLOOKUP(C534,customers!$A$2:$A$1001,customers!$I$2:$I$1001)</f>
        <v>Yes</v>
      </c>
    </row>
    <row r="535" spans="1:16" x14ac:dyDescent="0.2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_xlfn.XLOOKUP(C535,customers!$A$2:$A$1001,customers!$I$2:$I$1001)</f>
        <v>No</v>
      </c>
    </row>
    <row r="536" spans="1:16" x14ac:dyDescent="0.2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_xlfn.XLOOKUP(C536,customers!$A$2:$A$1001,customers!$I$2:$I$1001)</f>
        <v>Yes</v>
      </c>
    </row>
    <row r="537" spans="1:16" x14ac:dyDescent="0.2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_xlfn.XLOOKUP(C537,customers!$A$2:$A$1001,customers!$I$2:$I$1001)</f>
        <v>No</v>
      </c>
    </row>
    <row r="538" spans="1:16" x14ac:dyDescent="0.2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_xlfn.XLOOKUP(C538,customers!$A$2:$A$1001,customers!$I$2:$I$1001)</f>
        <v>Yes</v>
      </c>
    </row>
    <row r="539" spans="1:16" x14ac:dyDescent="0.2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_xlfn.XLOOKUP(C539,customers!$A$2:$A$1001,customers!$I$2:$I$1001)</f>
        <v>Yes</v>
      </c>
    </row>
    <row r="540" spans="1:16" x14ac:dyDescent="0.2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_xlfn.XLOOKUP(C540,customers!$A$2:$A$1001,customers!$I$2:$I$1001)</f>
        <v>Yes</v>
      </c>
    </row>
    <row r="541" spans="1:16" x14ac:dyDescent="0.2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_xlfn.XLOOKUP(C541,customers!$A$2:$A$1001,customers!$I$2:$I$1001)</f>
        <v>No</v>
      </c>
    </row>
    <row r="542" spans="1:16" x14ac:dyDescent="0.2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_xlfn.XLOOKUP(C542,customers!$A$2:$A$1001,customers!$I$2:$I$1001)</f>
        <v>Yes</v>
      </c>
    </row>
    <row r="543" spans="1:16" x14ac:dyDescent="0.2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_xlfn.XLOOKUP(C543,customers!$A$2:$A$1001,customers!$I$2:$I$1001)</f>
        <v>Yes</v>
      </c>
    </row>
    <row r="544" spans="1:16" x14ac:dyDescent="0.2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_xlfn.XLOOKUP(C544,customers!$A$2:$A$1001,customers!$I$2:$I$1001)</f>
        <v>No</v>
      </c>
    </row>
    <row r="545" spans="1:16" x14ac:dyDescent="0.2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_xlfn.XLOOKUP(C545,customers!$A$2:$A$1001,customers!$I$2:$I$1001)</f>
        <v>No</v>
      </c>
    </row>
    <row r="546" spans="1:16" x14ac:dyDescent="0.2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_xlfn.XLOOKUP(C546,customers!$A$2:$A$1001,customers!$I$2:$I$1001)</f>
        <v>No</v>
      </c>
    </row>
    <row r="547" spans="1:16" x14ac:dyDescent="0.2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_xlfn.XLOOKUP(C547,customers!$A$2:$A$1001,customers!$I$2:$I$1001)</f>
        <v>No</v>
      </c>
    </row>
    <row r="548" spans="1:16" x14ac:dyDescent="0.2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_xlfn.XLOOKUP(C548,customers!$A$2:$A$1001,customers!$I$2:$I$1001)</f>
        <v>No</v>
      </c>
    </row>
    <row r="549" spans="1:16" x14ac:dyDescent="0.2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_xlfn.XLOOKUP(C549,customers!$A$2:$A$1001,customers!$I$2:$I$1001)</f>
        <v>Yes</v>
      </c>
    </row>
    <row r="550" spans="1:16" x14ac:dyDescent="0.2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_xlfn.XLOOKUP(C550,customers!$A$2:$A$1001,customers!$I$2:$I$1001)</f>
        <v>Yes</v>
      </c>
    </row>
    <row r="551" spans="1:16" x14ac:dyDescent="0.2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_xlfn.XLOOKUP(C551,customers!$A$2:$A$1001,customers!$I$2:$I$1001)</f>
        <v>Yes</v>
      </c>
    </row>
    <row r="552" spans="1:16" x14ac:dyDescent="0.2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_xlfn.XLOOKUP(C552,customers!$A$2:$A$1001,customers!$I$2:$I$1001)</f>
        <v>Yes</v>
      </c>
    </row>
    <row r="553" spans="1:16" x14ac:dyDescent="0.2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_xlfn.XLOOKUP(C553,customers!$A$2:$A$1001,customers!$I$2:$I$1001)</f>
        <v>No</v>
      </c>
    </row>
    <row r="554" spans="1:16" x14ac:dyDescent="0.2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_xlfn.XLOOKUP(C554,customers!$A$2:$A$1001,customers!$I$2:$I$1001)</f>
        <v>Yes</v>
      </c>
    </row>
    <row r="555" spans="1:16" x14ac:dyDescent="0.2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_xlfn.XLOOKUP(C555,customers!$A$2:$A$1001,customers!$I$2:$I$1001)</f>
        <v>No</v>
      </c>
    </row>
    <row r="556" spans="1:16" x14ac:dyDescent="0.2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_xlfn.XLOOKUP(C556,customers!$A$2:$A$1001,customers!$I$2:$I$1001)</f>
        <v>Yes</v>
      </c>
    </row>
    <row r="557" spans="1:16" x14ac:dyDescent="0.2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_xlfn.XLOOKUP(C557,customers!$A$2:$A$1001,customers!$I$2:$I$1001)</f>
        <v>No</v>
      </c>
    </row>
    <row r="558" spans="1:16" x14ac:dyDescent="0.2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_xlfn.XLOOKUP(C558,customers!$A$2:$A$1001,customers!$I$2:$I$1001)</f>
        <v>Yes</v>
      </c>
    </row>
    <row r="559" spans="1:16" x14ac:dyDescent="0.2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_xlfn.XLOOKUP(C559,customers!$A$2:$A$1001,customers!$I$2:$I$1001)</f>
        <v>Yes</v>
      </c>
    </row>
    <row r="560" spans="1:16" x14ac:dyDescent="0.2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_xlfn.XLOOKUP(C560,customers!$A$2:$A$1001,customers!$I$2:$I$1001)</f>
        <v>Yes</v>
      </c>
    </row>
    <row r="561" spans="1:16" x14ac:dyDescent="0.2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_xlfn.XLOOKUP(C561,customers!$A$2:$A$1001,customers!$I$2:$I$1001)</f>
        <v>Yes</v>
      </c>
    </row>
    <row r="562" spans="1:16" x14ac:dyDescent="0.2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_xlfn.XLOOKUP(C562,customers!$A$2:$A$1001,customers!$I$2:$I$1001)</f>
        <v>Yes</v>
      </c>
    </row>
    <row r="563" spans="1:16" x14ac:dyDescent="0.2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_xlfn.XLOOKUP(C563,customers!$A$2:$A$1001,customers!$I$2:$I$1001)</f>
        <v>Yes</v>
      </c>
    </row>
    <row r="564" spans="1:16" x14ac:dyDescent="0.2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_xlfn.XLOOKUP(C564,customers!$A$2:$A$1001,customers!$I$2:$I$1001)</f>
        <v>No</v>
      </c>
    </row>
    <row r="565" spans="1:16" x14ac:dyDescent="0.2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_xlfn.XLOOKUP(C565,customers!$A$2:$A$1001,customers!$I$2:$I$1001)</f>
        <v>No</v>
      </c>
    </row>
    <row r="566" spans="1:16" x14ac:dyDescent="0.2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_xlfn.XLOOKUP(C566,customers!$A$2:$A$1001,customers!$I$2:$I$1001)</f>
        <v>No</v>
      </c>
    </row>
    <row r="567" spans="1:16" x14ac:dyDescent="0.2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_xlfn.XLOOKUP(C567,customers!$A$2:$A$1001,customers!$I$2:$I$1001)</f>
        <v>No</v>
      </c>
    </row>
    <row r="568" spans="1:16" x14ac:dyDescent="0.2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_xlfn.XLOOKUP(C568,customers!$A$2:$A$1001,customers!$I$2:$I$1001)</f>
        <v>Yes</v>
      </c>
    </row>
    <row r="569" spans="1:16" x14ac:dyDescent="0.2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_xlfn.XLOOKUP(C569,customers!$A$2:$A$1001,customers!$I$2:$I$1001)</f>
        <v>No</v>
      </c>
    </row>
    <row r="570" spans="1:16" x14ac:dyDescent="0.2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_xlfn.XLOOKUP(C570,customers!$A$2:$A$1001,customers!$I$2:$I$1001)</f>
        <v>Yes</v>
      </c>
    </row>
    <row r="571" spans="1:16" x14ac:dyDescent="0.2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_xlfn.XLOOKUP(C571,customers!$A$2:$A$1001,customers!$I$2:$I$1001)</f>
        <v>No</v>
      </c>
    </row>
    <row r="572" spans="1:16" x14ac:dyDescent="0.2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_xlfn.XLOOKUP(C572,customers!$A$2:$A$1001,customers!$I$2:$I$1001)</f>
        <v>No</v>
      </c>
    </row>
    <row r="573" spans="1:16" x14ac:dyDescent="0.2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_xlfn.XLOOKUP(C573,customers!$A$2:$A$1001,customers!$I$2:$I$1001)</f>
        <v>No</v>
      </c>
    </row>
    <row r="574" spans="1:16" x14ac:dyDescent="0.2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_xlfn.XLOOKUP(C574,customers!$A$2:$A$1001,customers!$I$2:$I$1001)</f>
        <v>Yes</v>
      </c>
    </row>
    <row r="575" spans="1:16" x14ac:dyDescent="0.2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_xlfn.XLOOKUP(C575,customers!$A$2:$A$1001,customers!$I$2:$I$1001)</f>
        <v>No</v>
      </c>
    </row>
    <row r="576" spans="1:16" x14ac:dyDescent="0.2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_xlfn.XLOOKUP(C576,customers!$A$2:$A$1001,customers!$I$2:$I$1001)</f>
        <v>Yes</v>
      </c>
    </row>
    <row r="577" spans="1:16" x14ac:dyDescent="0.2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_xlfn.XLOOKUP(C577,customers!$A$2:$A$1001,customers!$I$2:$I$1001)</f>
        <v>No</v>
      </c>
    </row>
    <row r="578" spans="1:16" x14ac:dyDescent="0.2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_xlfn.XLOOKUP(C578,customers!$A$2:$A$1001,customers!$I$2:$I$1001)</f>
        <v>No</v>
      </c>
    </row>
    <row r="579" spans="1:16" x14ac:dyDescent="0.2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 = "Rob","Robusta",IF(I579 = "Exc","Excelsa",IF(I579 = "Ara", "Arabica",IF(I579 = "Lib","Liberica",""))))</f>
        <v>Liberica</v>
      </c>
      <c r="O579" t="str">
        <f t="shared" ref="O579:O642" si="29">IF(J579="M","Medium",IF(J579="L","Light",IF(J579="D","Dark","")))</f>
        <v>Medium</v>
      </c>
      <c r="P579" t="str">
        <f>_xlfn.XLOOKUP(C579,customers!$A$2:$A$1001,customers!$I$2:$I$1001)</f>
        <v>No</v>
      </c>
    </row>
    <row r="580" spans="1:16" x14ac:dyDescent="0.2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_xlfn.XLOOKUP(C580,customers!$A$2:$A$1001,customers!$I$2:$I$1001)</f>
        <v>No</v>
      </c>
    </row>
    <row r="581" spans="1:16" x14ac:dyDescent="0.2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_xlfn.XLOOKUP(C581,customers!$A$2:$A$1001,customers!$I$2:$I$1001)</f>
        <v>No</v>
      </c>
    </row>
    <row r="582" spans="1:16" x14ac:dyDescent="0.2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_xlfn.XLOOKUP(C582,customers!$A$2:$A$1001,customers!$I$2:$I$1001)</f>
        <v>Yes</v>
      </c>
    </row>
    <row r="583" spans="1:16" x14ac:dyDescent="0.2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_xlfn.XLOOKUP(C583,customers!$A$2:$A$1001,customers!$I$2:$I$1001)</f>
        <v>Yes</v>
      </c>
    </row>
    <row r="584" spans="1:16" x14ac:dyDescent="0.2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_xlfn.XLOOKUP(C584,customers!$A$2:$A$1001,customers!$I$2:$I$1001)</f>
        <v>No</v>
      </c>
    </row>
    <row r="585" spans="1:16" x14ac:dyDescent="0.2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_xlfn.XLOOKUP(C585,customers!$A$2:$A$1001,customers!$I$2:$I$1001)</f>
        <v>Yes</v>
      </c>
    </row>
    <row r="586" spans="1:16" x14ac:dyDescent="0.2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_xlfn.XLOOKUP(C586,customers!$A$2:$A$1001,customers!$I$2:$I$1001)</f>
        <v>No</v>
      </c>
    </row>
    <row r="587" spans="1:16" x14ac:dyDescent="0.2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_xlfn.XLOOKUP(C587,customers!$A$2:$A$1001,customers!$I$2:$I$1001)</f>
        <v>Yes</v>
      </c>
    </row>
    <row r="588" spans="1:16" x14ac:dyDescent="0.2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_xlfn.XLOOKUP(C588,customers!$A$2:$A$1001,customers!$I$2:$I$1001)</f>
        <v>No</v>
      </c>
    </row>
    <row r="589" spans="1:16" x14ac:dyDescent="0.2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_xlfn.XLOOKUP(C589,customers!$A$2:$A$1001,customers!$I$2:$I$1001)</f>
        <v>Yes</v>
      </c>
    </row>
    <row r="590" spans="1:16" x14ac:dyDescent="0.2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_xlfn.XLOOKUP(C590,customers!$A$2:$A$1001,customers!$I$2:$I$1001)</f>
        <v>Yes</v>
      </c>
    </row>
    <row r="591" spans="1:16" x14ac:dyDescent="0.2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_xlfn.XLOOKUP(C591,customers!$A$2:$A$1001,customers!$I$2:$I$1001)</f>
        <v>No</v>
      </c>
    </row>
    <row r="592" spans="1:16" x14ac:dyDescent="0.2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_xlfn.XLOOKUP(C592,customers!$A$2:$A$1001,customers!$I$2:$I$1001)</f>
        <v>Yes</v>
      </c>
    </row>
    <row r="593" spans="1:16" x14ac:dyDescent="0.2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_xlfn.XLOOKUP(C593,customers!$A$2:$A$1001,customers!$I$2:$I$1001)</f>
        <v>Yes</v>
      </c>
    </row>
    <row r="594" spans="1:16" x14ac:dyDescent="0.2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_xlfn.XLOOKUP(C594,customers!$A$2:$A$1001,customers!$I$2:$I$1001)</f>
        <v>No</v>
      </c>
    </row>
    <row r="595" spans="1:16" x14ac:dyDescent="0.2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_xlfn.XLOOKUP(C595,customers!$A$2:$A$1001,customers!$I$2:$I$1001)</f>
        <v>Yes</v>
      </c>
    </row>
    <row r="596" spans="1:16" x14ac:dyDescent="0.2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_xlfn.XLOOKUP(C596,customers!$A$2:$A$1001,customers!$I$2:$I$1001)</f>
        <v>No</v>
      </c>
    </row>
    <row r="597" spans="1:16" x14ac:dyDescent="0.2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_xlfn.XLOOKUP(C597,customers!$A$2:$A$1001,customers!$I$2:$I$1001)</f>
        <v>No</v>
      </c>
    </row>
    <row r="598" spans="1:16" x14ac:dyDescent="0.2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_xlfn.XLOOKUP(C598,customers!$A$2:$A$1001,customers!$I$2:$I$1001)</f>
        <v>No</v>
      </c>
    </row>
    <row r="599" spans="1:16" x14ac:dyDescent="0.2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_xlfn.XLOOKUP(C599,customers!$A$2:$A$1001,customers!$I$2:$I$1001)</f>
        <v>Yes</v>
      </c>
    </row>
    <row r="600" spans="1:16" x14ac:dyDescent="0.2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_xlfn.XLOOKUP(C600,customers!$A$2:$A$1001,customers!$I$2:$I$1001)</f>
        <v>Yes</v>
      </c>
    </row>
    <row r="601" spans="1:16" x14ac:dyDescent="0.2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_xlfn.XLOOKUP(C601,customers!$A$2:$A$1001,customers!$I$2:$I$1001)</f>
        <v>Yes</v>
      </c>
    </row>
    <row r="602" spans="1:16" x14ac:dyDescent="0.2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_xlfn.XLOOKUP(C602,customers!$A$2:$A$1001,customers!$I$2:$I$1001)</f>
        <v>No</v>
      </c>
    </row>
    <row r="603" spans="1:16" x14ac:dyDescent="0.2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_xlfn.XLOOKUP(C603,customers!$A$2:$A$1001,customers!$I$2:$I$1001)</f>
        <v>Yes</v>
      </c>
    </row>
    <row r="604" spans="1:16" x14ac:dyDescent="0.2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_xlfn.XLOOKUP(C604,customers!$A$2:$A$1001,customers!$I$2:$I$1001)</f>
        <v>Yes</v>
      </c>
    </row>
    <row r="605" spans="1:16" x14ac:dyDescent="0.2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_xlfn.XLOOKUP(C605,customers!$A$2:$A$1001,customers!$I$2:$I$1001)</f>
        <v>No</v>
      </c>
    </row>
    <row r="606" spans="1:16" x14ac:dyDescent="0.2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_xlfn.XLOOKUP(C606,customers!$A$2:$A$1001,customers!$I$2:$I$1001)</f>
        <v>No</v>
      </c>
    </row>
    <row r="607" spans="1:16" x14ac:dyDescent="0.2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_xlfn.XLOOKUP(C607,customers!$A$2:$A$1001,customers!$I$2:$I$1001)</f>
        <v>Yes</v>
      </c>
    </row>
    <row r="608" spans="1:16" x14ac:dyDescent="0.2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_xlfn.XLOOKUP(C608,customers!$A$2:$A$1001,customers!$I$2:$I$1001)</f>
        <v>Yes</v>
      </c>
    </row>
    <row r="609" spans="1:16" x14ac:dyDescent="0.2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_xlfn.XLOOKUP(C609,customers!$A$2:$A$1001,customers!$I$2:$I$1001)</f>
        <v>Yes</v>
      </c>
    </row>
    <row r="610" spans="1:16" x14ac:dyDescent="0.2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_xlfn.XLOOKUP(C610,customers!$A$2:$A$1001,customers!$I$2:$I$1001)</f>
        <v>No</v>
      </c>
    </row>
    <row r="611" spans="1:16" x14ac:dyDescent="0.2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_xlfn.XLOOKUP(C611,customers!$A$2:$A$1001,customers!$I$2:$I$1001)</f>
        <v>Yes</v>
      </c>
    </row>
    <row r="612" spans="1:16" x14ac:dyDescent="0.2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_xlfn.XLOOKUP(C612,customers!$A$2:$A$1001,customers!$I$2:$I$1001)</f>
        <v>No</v>
      </c>
    </row>
    <row r="613" spans="1:16" x14ac:dyDescent="0.2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_xlfn.XLOOKUP(C613,customers!$A$2:$A$1001,customers!$I$2:$I$1001)</f>
        <v>No</v>
      </c>
    </row>
    <row r="614" spans="1:16" x14ac:dyDescent="0.2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_xlfn.XLOOKUP(C614,customers!$A$2:$A$1001,customers!$I$2:$I$1001)</f>
        <v>No</v>
      </c>
    </row>
    <row r="615" spans="1:16" x14ac:dyDescent="0.2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_xlfn.XLOOKUP(C615,customers!$A$2:$A$1001,customers!$I$2:$I$1001)</f>
        <v>No</v>
      </c>
    </row>
    <row r="616" spans="1:16" x14ac:dyDescent="0.2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_xlfn.XLOOKUP(C616,customers!$A$2:$A$1001,customers!$I$2:$I$1001)</f>
        <v>Yes</v>
      </c>
    </row>
    <row r="617" spans="1:16" x14ac:dyDescent="0.2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_xlfn.XLOOKUP(C617,customers!$A$2:$A$1001,customers!$I$2:$I$1001)</f>
        <v>Yes</v>
      </c>
    </row>
    <row r="618" spans="1:16" x14ac:dyDescent="0.2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_xlfn.XLOOKUP(C618,customers!$A$2:$A$1001,customers!$I$2:$I$1001)</f>
        <v>No</v>
      </c>
    </row>
    <row r="619" spans="1:16" x14ac:dyDescent="0.2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_xlfn.XLOOKUP(C619,customers!$A$2:$A$1001,customers!$I$2:$I$1001)</f>
        <v>No</v>
      </c>
    </row>
    <row r="620" spans="1:16" x14ac:dyDescent="0.2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_xlfn.XLOOKUP(C620,customers!$A$2:$A$1001,customers!$I$2:$I$1001)</f>
        <v>Yes</v>
      </c>
    </row>
    <row r="621" spans="1:16" x14ac:dyDescent="0.2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_xlfn.XLOOKUP(C621,customers!$A$2:$A$1001,customers!$I$2:$I$1001)</f>
        <v>Yes</v>
      </c>
    </row>
    <row r="622" spans="1:16" x14ac:dyDescent="0.2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_xlfn.XLOOKUP(C622,customers!$A$2:$A$1001,customers!$I$2:$I$1001)</f>
        <v>No</v>
      </c>
    </row>
    <row r="623" spans="1:16" x14ac:dyDescent="0.2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_xlfn.XLOOKUP(C623,customers!$A$2:$A$1001,customers!$I$2:$I$1001)</f>
        <v>No</v>
      </c>
    </row>
    <row r="624" spans="1:16" x14ac:dyDescent="0.2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_xlfn.XLOOKUP(C624,customers!$A$2:$A$1001,customers!$I$2:$I$1001)</f>
        <v>No</v>
      </c>
    </row>
    <row r="625" spans="1:16" x14ac:dyDescent="0.2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_xlfn.XLOOKUP(C625,customers!$A$2:$A$1001,customers!$I$2:$I$1001)</f>
        <v>No</v>
      </c>
    </row>
    <row r="626" spans="1:16" x14ac:dyDescent="0.2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_xlfn.XLOOKUP(C626,customers!$A$2:$A$1001,customers!$I$2:$I$1001)</f>
        <v>Yes</v>
      </c>
    </row>
    <row r="627" spans="1:16" x14ac:dyDescent="0.2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_xlfn.XLOOKUP(C627,customers!$A$2:$A$1001,customers!$I$2:$I$1001)</f>
        <v>No</v>
      </c>
    </row>
    <row r="628" spans="1:16" x14ac:dyDescent="0.2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_xlfn.XLOOKUP(C628,customers!$A$2:$A$1001,customers!$I$2:$I$1001)</f>
        <v>No</v>
      </c>
    </row>
    <row r="629" spans="1:16" x14ac:dyDescent="0.2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_xlfn.XLOOKUP(C629,customers!$A$2:$A$1001,customers!$I$2:$I$1001)</f>
        <v>Yes</v>
      </c>
    </row>
    <row r="630" spans="1:16" x14ac:dyDescent="0.2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_xlfn.XLOOKUP(C630,customers!$A$2:$A$1001,customers!$I$2:$I$1001)</f>
        <v>Yes</v>
      </c>
    </row>
    <row r="631" spans="1:16" x14ac:dyDescent="0.2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_xlfn.XLOOKUP(C631,customers!$A$2:$A$1001,customers!$I$2:$I$1001)</f>
        <v>Yes</v>
      </c>
    </row>
    <row r="632" spans="1:16" x14ac:dyDescent="0.2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_xlfn.XLOOKUP(C632,customers!$A$2:$A$1001,customers!$I$2:$I$1001)</f>
        <v>Yes</v>
      </c>
    </row>
    <row r="633" spans="1:16" x14ac:dyDescent="0.2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_xlfn.XLOOKUP(C633,customers!$A$2:$A$1001,customers!$I$2:$I$1001)</f>
        <v>Yes</v>
      </c>
    </row>
    <row r="634" spans="1:16" x14ac:dyDescent="0.2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_xlfn.XLOOKUP(C634,customers!$A$2:$A$1001,customers!$I$2:$I$1001)</f>
        <v>No</v>
      </c>
    </row>
    <row r="635" spans="1:16" x14ac:dyDescent="0.2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_xlfn.XLOOKUP(C635,customers!$A$2:$A$1001,customers!$I$2:$I$1001)</f>
        <v>No</v>
      </c>
    </row>
    <row r="636" spans="1:16" x14ac:dyDescent="0.2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_xlfn.XLOOKUP(C636,customers!$A$2:$A$1001,customers!$I$2:$I$1001)</f>
        <v>No</v>
      </c>
    </row>
    <row r="637" spans="1:16" x14ac:dyDescent="0.2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_xlfn.XLOOKUP(C637,customers!$A$2:$A$1001,customers!$I$2:$I$1001)</f>
        <v>Yes</v>
      </c>
    </row>
    <row r="638" spans="1:16" x14ac:dyDescent="0.2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_xlfn.XLOOKUP(C638,customers!$A$2:$A$1001,customers!$I$2:$I$1001)</f>
        <v>Yes</v>
      </c>
    </row>
    <row r="639" spans="1:16" x14ac:dyDescent="0.2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_xlfn.XLOOKUP(C639,customers!$A$2:$A$1001,customers!$I$2:$I$1001)</f>
        <v>Yes</v>
      </c>
    </row>
    <row r="640" spans="1:16" x14ac:dyDescent="0.2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_xlfn.XLOOKUP(C640,customers!$A$2:$A$1001,customers!$I$2:$I$1001)</f>
        <v>Yes</v>
      </c>
    </row>
    <row r="641" spans="1:16" x14ac:dyDescent="0.2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_xlfn.XLOOKUP(C641,customers!$A$2:$A$1001,customers!$I$2:$I$1001)</f>
        <v>Yes</v>
      </c>
    </row>
    <row r="642" spans="1:16" x14ac:dyDescent="0.2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_xlfn.XLOOKUP(C642,customers!$A$2:$A$1001,customers!$I$2:$I$1001)</f>
        <v>No</v>
      </c>
    </row>
    <row r="643" spans="1:16" x14ac:dyDescent="0.2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 = "Rob","Robusta",IF(I643 = "Exc","Excelsa",IF(I643 = "Ara", "Arabica",IF(I643 = "Lib","Liberica",""))))</f>
        <v>Robusta</v>
      </c>
      <c r="O643" t="str">
        <f t="shared" ref="O643:O706" si="32">IF(J643="M","Medium",IF(J643="L","Light",IF(J643="D","Dark","")))</f>
        <v>Light</v>
      </c>
      <c r="P643" t="str">
        <f>_xlfn.XLOOKUP(C643,customers!$A$2:$A$1001,customers!$I$2:$I$1001)</f>
        <v>Yes</v>
      </c>
    </row>
    <row r="644" spans="1:16" x14ac:dyDescent="0.2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_xlfn.XLOOKUP(C644,customers!$A$2:$A$1001,customers!$I$2:$I$1001)</f>
        <v>Yes</v>
      </c>
    </row>
    <row r="645" spans="1:16" x14ac:dyDescent="0.2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_xlfn.XLOOKUP(C645,customers!$A$2:$A$1001,customers!$I$2:$I$1001)</f>
        <v>Yes</v>
      </c>
    </row>
    <row r="646" spans="1:16" x14ac:dyDescent="0.2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_xlfn.XLOOKUP(C646,customers!$A$2:$A$1001,customers!$I$2:$I$1001)</f>
        <v>No</v>
      </c>
    </row>
    <row r="647" spans="1:16" x14ac:dyDescent="0.2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_xlfn.XLOOKUP(C647,customers!$A$2:$A$1001,customers!$I$2:$I$1001)</f>
        <v>Yes</v>
      </c>
    </row>
    <row r="648" spans="1:16" x14ac:dyDescent="0.2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_xlfn.XLOOKUP(C648,customers!$A$2:$A$1001,customers!$I$2:$I$1001)</f>
        <v>Yes</v>
      </c>
    </row>
    <row r="649" spans="1:16" x14ac:dyDescent="0.2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_xlfn.XLOOKUP(C649,customers!$A$2:$A$1001,customers!$I$2:$I$1001)</f>
        <v>Yes</v>
      </c>
    </row>
    <row r="650" spans="1:16" x14ac:dyDescent="0.2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_xlfn.XLOOKUP(C650,customers!$A$2:$A$1001,customers!$I$2:$I$1001)</f>
        <v>No</v>
      </c>
    </row>
    <row r="651" spans="1:16" x14ac:dyDescent="0.2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_xlfn.XLOOKUP(C651,customers!$A$2:$A$1001,customers!$I$2:$I$1001)</f>
        <v>No</v>
      </c>
    </row>
    <row r="652" spans="1:16" x14ac:dyDescent="0.2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_xlfn.XLOOKUP(C652,customers!$A$2:$A$1001,customers!$I$2:$I$1001)</f>
        <v>Yes</v>
      </c>
    </row>
    <row r="653" spans="1:16" x14ac:dyDescent="0.2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_xlfn.XLOOKUP(C653,customers!$A$2:$A$1001,customers!$I$2:$I$1001)</f>
        <v>No</v>
      </c>
    </row>
    <row r="654" spans="1:16" x14ac:dyDescent="0.2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_xlfn.XLOOKUP(C654,customers!$A$2:$A$1001,customers!$I$2:$I$1001)</f>
        <v>No</v>
      </c>
    </row>
    <row r="655" spans="1:16" x14ac:dyDescent="0.2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_xlfn.XLOOKUP(C655,customers!$A$2:$A$1001,customers!$I$2:$I$1001)</f>
        <v>No</v>
      </c>
    </row>
    <row r="656" spans="1:16" x14ac:dyDescent="0.2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_xlfn.XLOOKUP(C656,customers!$A$2:$A$1001,customers!$I$2:$I$1001)</f>
        <v>No</v>
      </c>
    </row>
    <row r="657" spans="1:16" x14ac:dyDescent="0.2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_xlfn.XLOOKUP(C657,customers!$A$2:$A$1001,customers!$I$2:$I$1001)</f>
        <v>Yes</v>
      </c>
    </row>
    <row r="658" spans="1:16" x14ac:dyDescent="0.2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_xlfn.XLOOKUP(C658,customers!$A$2:$A$1001,customers!$I$2:$I$1001)</f>
        <v>No</v>
      </c>
    </row>
    <row r="659" spans="1:16" x14ac:dyDescent="0.2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_xlfn.XLOOKUP(C659,customers!$A$2:$A$1001,customers!$I$2:$I$1001)</f>
        <v>Yes</v>
      </c>
    </row>
    <row r="660" spans="1:16" x14ac:dyDescent="0.2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_xlfn.XLOOKUP(C660,customers!$A$2:$A$1001,customers!$I$2:$I$1001)</f>
        <v>Yes</v>
      </c>
    </row>
    <row r="661" spans="1:16" x14ac:dyDescent="0.2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_xlfn.XLOOKUP(C661,customers!$A$2:$A$1001,customers!$I$2:$I$1001)</f>
        <v>Yes</v>
      </c>
    </row>
    <row r="662" spans="1:16" x14ac:dyDescent="0.2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_xlfn.XLOOKUP(C662,customers!$A$2:$A$1001,customers!$I$2:$I$1001)</f>
        <v>No</v>
      </c>
    </row>
    <row r="663" spans="1:16" x14ac:dyDescent="0.2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_xlfn.XLOOKUP(C663,customers!$A$2:$A$1001,customers!$I$2:$I$1001)</f>
        <v>Yes</v>
      </c>
    </row>
    <row r="664" spans="1:16" x14ac:dyDescent="0.2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_xlfn.XLOOKUP(C664,customers!$A$2:$A$1001,customers!$I$2:$I$1001)</f>
        <v>No</v>
      </c>
    </row>
    <row r="665" spans="1:16" x14ac:dyDescent="0.2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_xlfn.XLOOKUP(C665,customers!$A$2:$A$1001,customers!$I$2:$I$1001)</f>
        <v>No</v>
      </c>
    </row>
    <row r="666" spans="1:16" x14ac:dyDescent="0.2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_xlfn.XLOOKUP(C666,customers!$A$2:$A$1001,customers!$I$2:$I$1001)</f>
        <v>No</v>
      </c>
    </row>
    <row r="667" spans="1:16" x14ac:dyDescent="0.2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_xlfn.XLOOKUP(C667,customers!$A$2:$A$1001,customers!$I$2:$I$1001)</f>
        <v>No</v>
      </c>
    </row>
    <row r="668" spans="1:16" x14ac:dyDescent="0.2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_xlfn.XLOOKUP(C668,customers!$A$2:$A$1001,customers!$I$2:$I$1001)</f>
        <v>No</v>
      </c>
    </row>
    <row r="669" spans="1:16" x14ac:dyDescent="0.2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_xlfn.XLOOKUP(C669,customers!$A$2:$A$1001,customers!$I$2:$I$1001)</f>
        <v>No</v>
      </c>
    </row>
    <row r="670" spans="1:16" x14ac:dyDescent="0.2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_xlfn.XLOOKUP(C670,customers!$A$2:$A$1001,customers!$I$2:$I$1001)</f>
        <v>Yes</v>
      </c>
    </row>
    <row r="671" spans="1:16" x14ac:dyDescent="0.2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_xlfn.XLOOKUP(C671,customers!$A$2:$A$1001,customers!$I$2:$I$1001)</f>
        <v>No</v>
      </c>
    </row>
    <row r="672" spans="1:16" x14ac:dyDescent="0.2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_xlfn.XLOOKUP(C672,customers!$A$2:$A$1001,customers!$I$2:$I$1001)</f>
        <v>Yes</v>
      </c>
    </row>
    <row r="673" spans="1:16" x14ac:dyDescent="0.2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_xlfn.XLOOKUP(C673,customers!$A$2:$A$1001,customers!$I$2:$I$1001)</f>
        <v>No</v>
      </c>
    </row>
    <row r="674" spans="1:16" x14ac:dyDescent="0.2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_xlfn.XLOOKUP(C674,customers!$A$2:$A$1001,customers!$I$2:$I$1001)</f>
        <v>Yes</v>
      </c>
    </row>
    <row r="675" spans="1:16" x14ac:dyDescent="0.2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_xlfn.XLOOKUP(C675,customers!$A$2:$A$1001,customers!$I$2:$I$1001)</f>
        <v>Yes</v>
      </c>
    </row>
    <row r="676" spans="1:16" x14ac:dyDescent="0.2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_xlfn.XLOOKUP(C676,customers!$A$2:$A$1001,customers!$I$2:$I$1001)</f>
        <v>Yes</v>
      </c>
    </row>
    <row r="677" spans="1:16" x14ac:dyDescent="0.2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_xlfn.XLOOKUP(C677,customers!$A$2:$A$1001,customers!$I$2:$I$1001)</f>
        <v>Yes</v>
      </c>
    </row>
    <row r="678" spans="1:16" x14ac:dyDescent="0.2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_xlfn.XLOOKUP(C678,customers!$A$2:$A$1001,customers!$I$2:$I$1001)</f>
        <v>No</v>
      </c>
    </row>
    <row r="679" spans="1:16" x14ac:dyDescent="0.2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_xlfn.XLOOKUP(C679,customers!$A$2:$A$1001,customers!$I$2:$I$1001)</f>
        <v>No</v>
      </c>
    </row>
    <row r="680" spans="1:16" x14ac:dyDescent="0.2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_xlfn.XLOOKUP(C680,customers!$A$2:$A$1001,customers!$I$2:$I$1001)</f>
        <v>Yes</v>
      </c>
    </row>
    <row r="681" spans="1:16" x14ac:dyDescent="0.2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_xlfn.XLOOKUP(C681,customers!$A$2:$A$1001,customers!$I$2:$I$1001)</f>
        <v>No</v>
      </c>
    </row>
    <row r="682" spans="1:16" x14ac:dyDescent="0.2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_xlfn.XLOOKUP(C682,customers!$A$2:$A$1001,customers!$I$2:$I$1001)</f>
        <v>No</v>
      </c>
    </row>
    <row r="683" spans="1:16" x14ac:dyDescent="0.2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_xlfn.XLOOKUP(C683,customers!$A$2:$A$1001,customers!$I$2:$I$1001)</f>
        <v>Yes</v>
      </c>
    </row>
    <row r="684" spans="1:16" x14ac:dyDescent="0.2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_xlfn.XLOOKUP(C684,customers!$A$2:$A$1001,customers!$I$2:$I$1001)</f>
        <v>Yes</v>
      </c>
    </row>
    <row r="685" spans="1:16" x14ac:dyDescent="0.2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_xlfn.XLOOKUP(C685,customers!$A$2:$A$1001,customers!$I$2:$I$1001)</f>
        <v>No</v>
      </c>
    </row>
    <row r="686" spans="1:16" x14ac:dyDescent="0.2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_xlfn.XLOOKUP(C686,customers!$A$2:$A$1001,customers!$I$2:$I$1001)</f>
        <v>No</v>
      </c>
    </row>
    <row r="687" spans="1:16" x14ac:dyDescent="0.2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_xlfn.XLOOKUP(C687,customers!$A$2:$A$1001,customers!$I$2:$I$1001)</f>
        <v>Yes</v>
      </c>
    </row>
    <row r="688" spans="1:16" x14ac:dyDescent="0.2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_xlfn.XLOOKUP(C688,customers!$A$2:$A$1001,customers!$I$2:$I$1001)</f>
        <v>Yes</v>
      </c>
    </row>
    <row r="689" spans="1:16" x14ac:dyDescent="0.2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_xlfn.XLOOKUP(C689,customers!$A$2:$A$1001,customers!$I$2:$I$1001)</f>
        <v>No</v>
      </c>
    </row>
    <row r="690" spans="1:16" x14ac:dyDescent="0.2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_xlfn.XLOOKUP(C690,customers!$A$2:$A$1001,customers!$I$2:$I$1001)</f>
        <v>No</v>
      </c>
    </row>
    <row r="691" spans="1:16" x14ac:dyDescent="0.2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_xlfn.XLOOKUP(C691,customers!$A$2:$A$1001,customers!$I$2:$I$1001)</f>
        <v>No</v>
      </c>
    </row>
    <row r="692" spans="1:16" x14ac:dyDescent="0.2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_xlfn.XLOOKUP(C692,customers!$A$2:$A$1001,customers!$I$2:$I$1001)</f>
        <v>No</v>
      </c>
    </row>
    <row r="693" spans="1:16" x14ac:dyDescent="0.2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_xlfn.XLOOKUP(C693,customers!$A$2:$A$1001,customers!$I$2:$I$1001)</f>
        <v>No</v>
      </c>
    </row>
    <row r="694" spans="1:16" x14ac:dyDescent="0.2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_xlfn.XLOOKUP(C694,customers!$A$2:$A$1001,customers!$I$2:$I$1001)</f>
        <v>No</v>
      </c>
    </row>
    <row r="695" spans="1:16" x14ac:dyDescent="0.2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_xlfn.XLOOKUP(C695,customers!$A$2:$A$1001,customers!$I$2:$I$1001)</f>
        <v>Yes</v>
      </c>
    </row>
    <row r="696" spans="1:16" x14ac:dyDescent="0.2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_xlfn.XLOOKUP(C696,customers!$A$2:$A$1001,customers!$I$2:$I$1001)</f>
        <v>No</v>
      </c>
    </row>
    <row r="697" spans="1:16" x14ac:dyDescent="0.2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_xlfn.XLOOKUP(C697,customers!$A$2:$A$1001,customers!$I$2:$I$1001)</f>
        <v>Yes</v>
      </c>
    </row>
    <row r="698" spans="1:16" x14ac:dyDescent="0.2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_xlfn.XLOOKUP(C698,customers!$A$2:$A$1001,customers!$I$2:$I$1001)</f>
        <v>No</v>
      </c>
    </row>
    <row r="699" spans="1:16" x14ac:dyDescent="0.2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_xlfn.XLOOKUP(C699,customers!$A$2:$A$1001,customers!$I$2:$I$1001)</f>
        <v>No</v>
      </c>
    </row>
    <row r="700" spans="1:16" x14ac:dyDescent="0.2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_xlfn.XLOOKUP(C700,customers!$A$2:$A$1001,customers!$I$2:$I$1001)</f>
        <v>No</v>
      </c>
    </row>
    <row r="701" spans="1:16" x14ac:dyDescent="0.2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_xlfn.XLOOKUP(C701,customers!$A$2:$A$1001,customers!$I$2:$I$1001)</f>
        <v>Yes</v>
      </c>
    </row>
    <row r="702" spans="1:16" x14ac:dyDescent="0.2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_xlfn.XLOOKUP(C702,customers!$A$2:$A$1001,customers!$I$2:$I$1001)</f>
        <v>No</v>
      </c>
    </row>
    <row r="703" spans="1:16" x14ac:dyDescent="0.2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_xlfn.XLOOKUP(C703,customers!$A$2:$A$1001,customers!$I$2:$I$1001)</f>
        <v>Yes</v>
      </c>
    </row>
    <row r="704" spans="1:16" x14ac:dyDescent="0.2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_xlfn.XLOOKUP(C704,customers!$A$2:$A$1001,customers!$I$2:$I$1001)</f>
        <v>Yes</v>
      </c>
    </row>
    <row r="705" spans="1:16" x14ac:dyDescent="0.2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_xlfn.XLOOKUP(C705,customers!$A$2:$A$1001,customers!$I$2:$I$1001)</f>
        <v>Yes</v>
      </c>
    </row>
    <row r="706" spans="1:16" x14ac:dyDescent="0.2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_xlfn.XLOOKUP(C706,customers!$A$2:$A$1001,customers!$I$2:$I$1001)</f>
        <v>Yes</v>
      </c>
    </row>
    <row r="707" spans="1:16" x14ac:dyDescent="0.2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 = "Rob","Robusta",IF(I707 = "Exc","Excelsa",IF(I707 = "Ara", "Arabica",IF(I707 = "Lib","Liberica",""))))</f>
        <v>Excelsa</v>
      </c>
      <c r="O707" t="str">
        <f t="shared" ref="O707:O770" si="35">IF(J707="M","Medium",IF(J707="L","Light",IF(J707="D","Dark","")))</f>
        <v>Light</v>
      </c>
      <c r="P707" t="str">
        <f>_xlfn.XLOOKUP(C707,customers!$A$2:$A$1001,customers!$I$2:$I$1001)</f>
        <v>No</v>
      </c>
    </row>
    <row r="708" spans="1:16" x14ac:dyDescent="0.2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_xlfn.XLOOKUP(C708,customers!$A$2:$A$1001,customers!$I$2:$I$1001)</f>
        <v>No</v>
      </c>
    </row>
    <row r="709" spans="1:16" x14ac:dyDescent="0.2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_xlfn.XLOOKUP(C709,customers!$A$2:$A$1001,customers!$I$2:$I$1001)</f>
        <v>No</v>
      </c>
    </row>
    <row r="710" spans="1:16" x14ac:dyDescent="0.2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_xlfn.XLOOKUP(C710,customers!$A$2:$A$1001,customers!$I$2:$I$1001)</f>
        <v>Yes</v>
      </c>
    </row>
    <row r="711" spans="1:16" x14ac:dyDescent="0.2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_xlfn.XLOOKUP(C711,customers!$A$2:$A$1001,customers!$I$2:$I$1001)</f>
        <v>Yes</v>
      </c>
    </row>
    <row r="712" spans="1:16" x14ac:dyDescent="0.2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_xlfn.XLOOKUP(C712,customers!$A$2:$A$1001,customers!$I$2:$I$1001)</f>
        <v>No</v>
      </c>
    </row>
    <row r="713" spans="1:16" x14ac:dyDescent="0.2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_xlfn.XLOOKUP(C713,customers!$A$2:$A$1001,customers!$I$2:$I$1001)</f>
        <v>No</v>
      </c>
    </row>
    <row r="714" spans="1:16" x14ac:dyDescent="0.2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_xlfn.XLOOKUP(C714,customers!$A$2:$A$1001,customers!$I$2:$I$1001)</f>
        <v>No</v>
      </c>
    </row>
    <row r="715" spans="1:16" x14ac:dyDescent="0.2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_xlfn.XLOOKUP(C715,customers!$A$2:$A$1001,customers!$I$2:$I$1001)</f>
        <v>No</v>
      </c>
    </row>
    <row r="716" spans="1:16" x14ac:dyDescent="0.2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_xlfn.XLOOKUP(C716,customers!$A$2:$A$1001,customers!$I$2:$I$1001)</f>
        <v>Yes</v>
      </c>
    </row>
    <row r="717" spans="1:16" x14ac:dyDescent="0.2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_xlfn.XLOOKUP(C717,customers!$A$2:$A$1001,customers!$I$2:$I$1001)</f>
        <v>No</v>
      </c>
    </row>
    <row r="718" spans="1:16" x14ac:dyDescent="0.2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_xlfn.XLOOKUP(C718,customers!$A$2:$A$1001,customers!$I$2:$I$1001)</f>
        <v>No</v>
      </c>
    </row>
    <row r="719" spans="1:16" x14ac:dyDescent="0.2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_xlfn.XLOOKUP(C719,customers!$A$2:$A$1001,customers!$I$2:$I$1001)</f>
        <v>No</v>
      </c>
    </row>
    <row r="720" spans="1:16" x14ac:dyDescent="0.2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_xlfn.XLOOKUP(C720,customers!$A$2:$A$1001,customers!$I$2:$I$1001)</f>
        <v>No</v>
      </c>
    </row>
    <row r="721" spans="1:16" x14ac:dyDescent="0.2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_xlfn.XLOOKUP(C721,customers!$A$2:$A$1001,customers!$I$2:$I$1001)</f>
        <v>Yes</v>
      </c>
    </row>
    <row r="722" spans="1:16" x14ac:dyDescent="0.2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_xlfn.XLOOKUP(C722,customers!$A$2:$A$1001,customers!$I$2:$I$1001)</f>
        <v>Yes</v>
      </c>
    </row>
    <row r="723" spans="1:16" x14ac:dyDescent="0.2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_xlfn.XLOOKUP(C723,customers!$A$2:$A$1001,customers!$I$2:$I$1001)</f>
        <v>Yes</v>
      </c>
    </row>
    <row r="724" spans="1:16" x14ac:dyDescent="0.2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_xlfn.XLOOKUP(C724,customers!$A$2:$A$1001,customers!$I$2:$I$1001)</f>
        <v>No</v>
      </c>
    </row>
    <row r="725" spans="1:16" x14ac:dyDescent="0.2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_xlfn.XLOOKUP(C725,customers!$A$2:$A$1001,customers!$I$2:$I$1001)</f>
        <v>No</v>
      </c>
    </row>
    <row r="726" spans="1:16" x14ac:dyDescent="0.2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_xlfn.XLOOKUP(C726,customers!$A$2:$A$1001,customers!$I$2:$I$1001)</f>
        <v>Yes</v>
      </c>
    </row>
    <row r="727" spans="1:16" x14ac:dyDescent="0.2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_xlfn.XLOOKUP(C727,customers!$A$2:$A$1001,customers!$I$2:$I$1001)</f>
        <v>No</v>
      </c>
    </row>
    <row r="728" spans="1:16" x14ac:dyDescent="0.2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_xlfn.XLOOKUP(C728,customers!$A$2:$A$1001,customers!$I$2:$I$1001)</f>
        <v>No</v>
      </c>
    </row>
    <row r="729" spans="1:16" x14ac:dyDescent="0.2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_xlfn.XLOOKUP(C729,customers!$A$2:$A$1001,customers!$I$2:$I$1001)</f>
        <v>Yes</v>
      </c>
    </row>
    <row r="730" spans="1:16" x14ac:dyDescent="0.2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_xlfn.XLOOKUP(C730,customers!$A$2:$A$1001,customers!$I$2:$I$1001)</f>
        <v>Yes</v>
      </c>
    </row>
    <row r="731" spans="1:16" x14ac:dyDescent="0.2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_xlfn.XLOOKUP(C731,customers!$A$2:$A$1001,customers!$I$2:$I$1001)</f>
        <v>No</v>
      </c>
    </row>
    <row r="732" spans="1:16" x14ac:dyDescent="0.2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_xlfn.XLOOKUP(C732,customers!$A$2:$A$1001,customers!$I$2:$I$1001)</f>
        <v>No</v>
      </c>
    </row>
    <row r="733" spans="1:16" x14ac:dyDescent="0.2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_xlfn.XLOOKUP(C733,customers!$A$2:$A$1001,customers!$I$2:$I$1001)</f>
        <v>Yes</v>
      </c>
    </row>
    <row r="734" spans="1:16" x14ac:dyDescent="0.2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_xlfn.XLOOKUP(C734,customers!$A$2:$A$1001,customers!$I$2:$I$1001)</f>
        <v>No</v>
      </c>
    </row>
    <row r="735" spans="1:16" x14ac:dyDescent="0.2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_xlfn.XLOOKUP(C735,customers!$A$2:$A$1001,customers!$I$2:$I$1001)</f>
        <v>Yes</v>
      </c>
    </row>
    <row r="736" spans="1:16" x14ac:dyDescent="0.2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_xlfn.XLOOKUP(C736,customers!$A$2:$A$1001,customers!$I$2:$I$1001)</f>
        <v>No</v>
      </c>
    </row>
    <row r="737" spans="1:16" x14ac:dyDescent="0.2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_xlfn.XLOOKUP(C737,customers!$A$2:$A$1001,customers!$I$2:$I$1001)</f>
        <v>No</v>
      </c>
    </row>
    <row r="738" spans="1:16" x14ac:dyDescent="0.2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_xlfn.XLOOKUP(C738,customers!$A$2:$A$1001,customers!$I$2:$I$1001)</f>
        <v>Yes</v>
      </c>
    </row>
    <row r="739" spans="1:16" x14ac:dyDescent="0.2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_xlfn.XLOOKUP(C739,customers!$A$2:$A$1001,customers!$I$2:$I$1001)</f>
        <v>No</v>
      </c>
    </row>
    <row r="740" spans="1:16" x14ac:dyDescent="0.2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_xlfn.XLOOKUP(C740,customers!$A$2:$A$1001,customers!$I$2:$I$1001)</f>
        <v>No</v>
      </c>
    </row>
    <row r="741" spans="1:16" x14ac:dyDescent="0.2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_xlfn.XLOOKUP(C741,customers!$A$2:$A$1001,customers!$I$2:$I$1001)</f>
        <v>No</v>
      </c>
    </row>
    <row r="742" spans="1:16" x14ac:dyDescent="0.2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_xlfn.XLOOKUP(C742,customers!$A$2:$A$1001,customers!$I$2:$I$1001)</f>
        <v>No</v>
      </c>
    </row>
    <row r="743" spans="1:16" x14ac:dyDescent="0.2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_xlfn.XLOOKUP(C743,customers!$A$2:$A$1001,customers!$I$2:$I$1001)</f>
        <v>No</v>
      </c>
    </row>
    <row r="744" spans="1:16" x14ac:dyDescent="0.2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_xlfn.XLOOKUP(C744,customers!$A$2:$A$1001,customers!$I$2:$I$1001)</f>
        <v>No</v>
      </c>
    </row>
    <row r="745" spans="1:16" x14ac:dyDescent="0.2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_xlfn.XLOOKUP(C745,customers!$A$2:$A$1001,customers!$I$2:$I$1001)</f>
        <v>No</v>
      </c>
    </row>
    <row r="746" spans="1:16" x14ac:dyDescent="0.2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_xlfn.XLOOKUP(C746,customers!$A$2:$A$1001,customers!$I$2:$I$1001)</f>
        <v>Yes</v>
      </c>
    </row>
    <row r="747" spans="1:16" x14ac:dyDescent="0.2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_xlfn.XLOOKUP(C747,customers!$A$2:$A$1001,customers!$I$2:$I$1001)</f>
        <v>No</v>
      </c>
    </row>
    <row r="748" spans="1:16" x14ac:dyDescent="0.2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_xlfn.XLOOKUP(C748,customers!$A$2:$A$1001,customers!$I$2:$I$1001)</f>
        <v>No</v>
      </c>
    </row>
    <row r="749" spans="1:16" x14ac:dyDescent="0.2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_xlfn.XLOOKUP(C749,customers!$A$2:$A$1001,customers!$I$2:$I$1001)</f>
        <v>Yes</v>
      </c>
    </row>
    <row r="750" spans="1:16" x14ac:dyDescent="0.2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_xlfn.XLOOKUP(C750,customers!$A$2:$A$1001,customers!$I$2:$I$1001)</f>
        <v>No</v>
      </c>
    </row>
    <row r="751" spans="1:16" x14ac:dyDescent="0.2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_xlfn.XLOOKUP(C751,customers!$A$2:$A$1001,customers!$I$2:$I$1001)</f>
        <v>Yes</v>
      </c>
    </row>
    <row r="752" spans="1:16" x14ac:dyDescent="0.2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_xlfn.XLOOKUP(C752,customers!$A$2:$A$1001,customers!$I$2:$I$1001)</f>
        <v>Yes</v>
      </c>
    </row>
    <row r="753" spans="1:16" x14ac:dyDescent="0.2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_xlfn.XLOOKUP(C753,customers!$A$2:$A$1001,customers!$I$2:$I$1001)</f>
        <v>No</v>
      </c>
    </row>
    <row r="754" spans="1:16" x14ac:dyDescent="0.2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_xlfn.XLOOKUP(C754,customers!$A$2:$A$1001,customers!$I$2:$I$1001)</f>
        <v>Yes</v>
      </c>
    </row>
    <row r="755" spans="1:16" x14ac:dyDescent="0.2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_xlfn.XLOOKUP(C755,customers!$A$2:$A$1001,customers!$I$2:$I$1001)</f>
        <v>No</v>
      </c>
    </row>
    <row r="756" spans="1:16" x14ac:dyDescent="0.2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_xlfn.XLOOKUP(C756,customers!$A$2:$A$1001,customers!$I$2:$I$1001)</f>
        <v>No</v>
      </c>
    </row>
    <row r="757" spans="1:16" x14ac:dyDescent="0.2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_xlfn.XLOOKUP(C757,customers!$A$2:$A$1001,customers!$I$2:$I$1001)</f>
        <v>No</v>
      </c>
    </row>
    <row r="758" spans="1:16" x14ac:dyDescent="0.2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_xlfn.XLOOKUP(C758,customers!$A$2:$A$1001,customers!$I$2:$I$1001)</f>
        <v>Yes</v>
      </c>
    </row>
    <row r="759" spans="1:16" x14ac:dyDescent="0.2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_xlfn.XLOOKUP(C759,customers!$A$2:$A$1001,customers!$I$2:$I$1001)</f>
        <v>Yes</v>
      </c>
    </row>
    <row r="760" spans="1:16" x14ac:dyDescent="0.2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_xlfn.XLOOKUP(C760,customers!$A$2:$A$1001,customers!$I$2:$I$1001)</f>
        <v>No</v>
      </c>
    </row>
    <row r="761" spans="1:16" x14ac:dyDescent="0.2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_xlfn.XLOOKUP(C761,customers!$A$2:$A$1001,customers!$I$2:$I$1001)</f>
        <v>Yes</v>
      </c>
    </row>
    <row r="762" spans="1:16" x14ac:dyDescent="0.2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_xlfn.XLOOKUP(C762,customers!$A$2:$A$1001,customers!$I$2:$I$1001)</f>
        <v>No</v>
      </c>
    </row>
    <row r="763" spans="1:16" x14ac:dyDescent="0.2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_xlfn.XLOOKUP(C763,customers!$A$2:$A$1001,customers!$I$2:$I$1001)</f>
        <v>Yes</v>
      </c>
    </row>
    <row r="764" spans="1:16" x14ac:dyDescent="0.2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_xlfn.XLOOKUP(C764,customers!$A$2:$A$1001,customers!$I$2:$I$1001)</f>
        <v>No</v>
      </c>
    </row>
    <row r="765" spans="1:16" x14ac:dyDescent="0.2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_xlfn.XLOOKUP(C765,customers!$A$2:$A$1001,customers!$I$2:$I$1001)</f>
        <v>No</v>
      </c>
    </row>
    <row r="766" spans="1:16" x14ac:dyDescent="0.2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_xlfn.XLOOKUP(C766,customers!$A$2:$A$1001,customers!$I$2:$I$1001)</f>
        <v>Yes</v>
      </c>
    </row>
    <row r="767" spans="1:16" x14ac:dyDescent="0.2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_xlfn.XLOOKUP(C767,customers!$A$2:$A$1001,customers!$I$2:$I$1001)</f>
        <v>Yes</v>
      </c>
    </row>
    <row r="768" spans="1:16" x14ac:dyDescent="0.2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_xlfn.XLOOKUP(C768,customers!$A$2:$A$1001,customers!$I$2:$I$1001)</f>
        <v>Yes</v>
      </c>
    </row>
    <row r="769" spans="1:16" x14ac:dyDescent="0.2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_xlfn.XLOOKUP(C769,customers!$A$2:$A$1001,customers!$I$2:$I$1001)</f>
        <v>No</v>
      </c>
    </row>
    <row r="770" spans="1:16" x14ac:dyDescent="0.2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_xlfn.XLOOKUP(C770,customers!$A$2:$A$1001,customers!$I$2:$I$1001)</f>
        <v>No</v>
      </c>
    </row>
    <row r="771" spans="1:16" x14ac:dyDescent="0.2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 = "Rob","Robusta",IF(I771 = "Exc","Excelsa",IF(I771 = "Ara", "Arabica",IF(I771 = "Lib","Liberica",""))))</f>
        <v>Robusta</v>
      </c>
      <c r="O771" t="str">
        <f t="shared" ref="O771:O834" si="38">IF(J771="M","Medium",IF(J771="L","Light",IF(J771="D","Dark","")))</f>
        <v>Medium</v>
      </c>
      <c r="P771" t="str">
        <f>_xlfn.XLOOKUP(C771,customers!$A$2:$A$1001,customers!$I$2:$I$1001)</f>
        <v>No</v>
      </c>
    </row>
    <row r="772" spans="1:16" x14ac:dyDescent="0.2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_xlfn.XLOOKUP(C772,customers!$A$2:$A$1001,customers!$I$2:$I$1001)</f>
        <v>No</v>
      </c>
    </row>
    <row r="773" spans="1:16" x14ac:dyDescent="0.2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_xlfn.XLOOKUP(C773,customers!$A$2:$A$1001,customers!$I$2:$I$1001)</f>
        <v>No</v>
      </c>
    </row>
    <row r="774" spans="1:16" x14ac:dyDescent="0.2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_xlfn.XLOOKUP(C774,customers!$A$2:$A$1001,customers!$I$2:$I$1001)</f>
        <v>No</v>
      </c>
    </row>
    <row r="775" spans="1:16" x14ac:dyDescent="0.2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_xlfn.XLOOKUP(C775,customers!$A$2:$A$1001,customers!$I$2:$I$1001)</f>
        <v>No</v>
      </c>
    </row>
    <row r="776" spans="1:16" x14ac:dyDescent="0.2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_xlfn.XLOOKUP(C776,customers!$A$2:$A$1001,customers!$I$2:$I$1001)</f>
        <v>Yes</v>
      </c>
    </row>
    <row r="777" spans="1:16" x14ac:dyDescent="0.2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_xlfn.XLOOKUP(C777,customers!$A$2:$A$1001,customers!$I$2:$I$1001)</f>
        <v>Yes</v>
      </c>
    </row>
    <row r="778" spans="1:16" x14ac:dyDescent="0.2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_xlfn.XLOOKUP(C778,customers!$A$2:$A$1001,customers!$I$2:$I$1001)</f>
        <v>No</v>
      </c>
    </row>
    <row r="779" spans="1:16" x14ac:dyDescent="0.2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_xlfn.XLOOKUP(C779,customers!$A$2:$A$1001,customers!$I$2:$I$1001)</f>
        <v>No</v>
      </c>
    </row>
    <row r="780" spans="1:16" x14ac:dyDescent="0.2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_xlfn.XLOOKUP(C780,customers!$A$2:$A$1001,customers!$I$2:$I$1001)</f>
        <v>Yes</v>
      </c>
    </row>
    <row r="781" spans="1:16" x14ac:dyDescent="0.2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_xlfn.XLOOKUP(C781,customers!$A$2:$A$1001,customers!$I$2:$I$1001)</f>
        <v>Yes</v>
      </c>
    </row>
    <row r="782" spans="1:16" x14ac:dyDescent="0.2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_xlfn.XLOOKUP(C782,customers!$A$2:$A$1001,customers!$I$2:$I$1001)</f>
        <v>No</v>
      </c>
    </row>
    <row r="783" spans="1:16" x14ac:dyDescent="0.2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_xlfn.XLOOKUP(C783,customers!$A$2:$A$1001,customers!$I$2:$I$1001)</f>
        <v>No</v>
      </c>
    </row>
    <row r="784" spans="1:16" x14ac:dyDescent="0.2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_xlfn.XLOOKUP(C784,customers!$A$2:$A$1001,customers!$I$2:$I$1001)</f>
        <v>No</v>
      </c>
    </row>
    <row r="785" spans="1:16" x14ac:dyDescent="0.2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_xlfn.XLOOKUP(C785,customers!$A$2:$A$1001,customers!$I$2:$I$1001)</f>
        <v>Yes</v>
      </c>
    </row>
    <row r="786" spans="1:16" x14ac:dyDescent="0.2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_xlfn.XLOOKUP(C786,customers!$A$2:$A$1001,customers!$I$2:$I$1001)</f>
        <v>No</v>
      </c>
    </row>
    <row r="787" spans="1:16" x14ac:dyDescent="0.2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_xlfn.XLOOKUP(C787,customers!$A$2:$A$1001,customers!$I$2:$I$1001)</f>
        <v>No</v>
      </c>
    </row>
    <row r="788" spans="1:16" x14ac:dyDescent="0.2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_xlfn.XLOOKUP(C788,customers!$A$2:$A$1001,customers!$I$2:$I$1001)</f>
        <v>Yes</v>
      </c>
    </row>
    <row r="789" spans="1:16" x14ac:dyDescent="0.2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_xlfn.XLOOKUP(C789,customers!$A$2:$A$1001,customers!$I$2:$I$1001)</f>
        <v>Yes</v>
      </c>
    </row>
    <row r="790" spans="1:16" x14ac:dyDescent="0.2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_xlfn.XLOOKUP(C790,customers!$A$2:$A$1001,customers!$I$2:$I$1001)</f>
        <v>Yes</v>
      </c>
    </row>
    <row r="791" spans="1:16" x14ac:dyDescent="0.2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_xlfn.XLOOKUP(C791,customers!$A$2:$A$1001,customers!$I$2:$I$1001)</f>
        <v>No</v>
      </c>
    </row>
    <row r="792" spans="1:16" x14ac:dyDescent="0.2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_xlfn.XLOOKUP(C792,customers!$A$2:$A$1001,customers!$I$2:$I$1001)</f>
        <v>No</v>
      </c>
    </row>
    <row r="793" spans="1:16" x14ac:dyDescent="0.2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_xlfn.XLOOKUP(C793,customers!$A$2:$A$1001,customers!$I$2:$I$1001)</f>
        <v>Yes</v>
      </c>
    </row>
    <row r="794" spans="1:16" x14ac:dyDescent="0.2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_xlfn.XLOOKUP(C794,customers!$A$2:$A$1001,customers!$I$2:$I$1001)</f>
        <v>Yes</v>
      </c>
    </row>
    <row r="795" spans="1:16" x14ac:dyDescent="0.2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_xlfn.XLOOKUP(C795,customers!$A$2:$A$1001,customers!$I$2:$I$1001)</f>
        <v>No</v>
      </c>
    </row>
    <row r="796" spans="1:16" x14ac:dyDescent="0.2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_xlfn.XLOOKUP(C796,customers!$A$2:$A$1001,customers!$I$2:$I$1001)</f>
        <v>No</v>
      </c>
    </row>
    <row r="797" spans="1:16" x14ac:dyDescent="0.2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_xlfn.XLOOKUP(C797,customers!$A$2:$A$1001,customers!$I$2:$I$1001)</f>
        <v>No</v>
      </c>
    </row>
    <row r="798" spans="1:16" x14ac:dyDescent="0.2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_xlfn.XLOOKUP(C798,customers!$A$2:$A$1001,customers!$I$2:$I$1001)</f>
        <v>No</v>
      </c>
    </row>
    <row r="799" spans="1:16" x14ac:dyDescent="0.2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_xlfn.XLOOKUP(C799,customers!$A$2:$A$1001,customers!$I$2:$I$1001)</f>
        <v>No</v>
      </c>
    </row>
    <row r="800" spans="1:16" x14ac:dyDescent="0.2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_xlfn.XLOOKUP(C800,customers!$A$2:$A$1001,customers!$I$2:$I$1001)</f>
        <v>Yes</v>
      </c>
    </row>
    <row r="801" spans="1:16" x14ac:dyDescent="0.2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_xlfn.XLOOKUP(C801,customers!$A$2:$A$1001,customers!$I$2:$I$1001)</f>
        <v>Yes</v>
      </c>
    </row>
    <row r="802" spans="1:16" x14ac:dyDescent="0.2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_xlfn.XLOOKUP(C802,customers!$A$2:$A$1001,customers!$I$2:$I$1001)</f>
        <v>No</v>
      </c>
    </row>
    <row r="803" spans="1:16" x14ac:dyDescent="0.2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_xlfn.XLOOKUP(C803,customers!$A$2:$A$1001,customers!$I$2:$I$1001)</f>
        <v>Yes</v>
      </c>
    </row>
    <row r="804" spans="1:16" x14ac:dyDescent="0.2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_xlfn.XLOOKUP(C804,customers!$A$2:$A$1001,customers!$I$2:$I$1001)</f>
        <v>No</v>
      </c>
    </row>
    <row r="805" spans="1:16" x14ac:dyDescent="0.2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_xlfn.XLOOKUP(C805,customers!$A$2:$A$1001,customers!$I$2:$I$1001)</f>
        <v>No</v>
      </c>
    </row>
    <row r="806" spans="1:16" x14ac:dyDescent="0.2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_xlfn.XLOOKUP(C806,customers!$A$2:$A$1001,customers!$I$2:$I$1001)</f>
        <v>No</v>
      </c>
    </row>
    <row r="807" spans="1:16" x14ac:dyDescent="0.2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_xlfn.XLOOKUP(C807,customers!$A$2:$A$1001,customers!$I$2:$I$1001)</f>
        <v>No</v>
      </c>
    </row>
    <row r="808" spans="1:16" x14ac:dyDescent="0.2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_xlfn.XLOOKUP(C808,customers!$A$2:$A$1001,customers!$I$2:$I$1001)</f>
        <v>Yes</v>
      </c>
    </row>
    <row r="809" spans="1:16" x14ac:dyDescent="0.2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_xlfn.XLOOKUP(C809,customers!$A$2:$A$1001,customers!$I$2:$I$1001)</f>
        <v>No</v>
      </c>
    </row>
    <row r="810" spans="1:16" x14ac:dyDescent="0.2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_xlfn.XLOOKUP(C810,customers!$A$2:$A$1001,customers!$I$2:$I$1001)</f>
        <v>No</v>
      </c>
    </row>
    <row r="811" spans="1:16" x14ac:dyDescent="0.2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_xlfn.XLOOKUP(C811,customers!$A$2:$A$1001,customers!$I$2:$I$1001)</f>
        <v>Yes</v>
      </c>
    </row>
    <row r="812" spans="1:16" x14ac:dyDescent="0.2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_xlfn.XLOOKUP(C812,customers!$A$2:$A$1001,customers!$I$2:$I$1001)</f>
        <v>No</v>
      </c>
    </row>
    <row r="813" spans="1:16" x14ac:dyDescent="0.2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_xlfn.XLOOKUP(C813,customers!$A$2:$A$1001,customers!$I$2:$I$1001)</f>
        <v>Yes</v>
      </c>
    </row>
    <row r="814" spans="1:16" x14ac:dyDescent="0.2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_xlfn.XLOOKUP(C814,customers!$A$2:$A$1001,customers!$I$2:$I$1001)</f>
        <v>Yes</v>
      </c>
    </row>
    <row r="815" spans="1:16" x14ac:dyDescent="0.2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_xlfn.XLOOKUP(C815,customers!$A$2:$A$1001,customers!$I$2:$I$1001)</f>
        <v>Yes</v>
      </c>
    </row>
    <row r="816" spans="1:16" x14ac:dyDescent="0.2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_xlfn.XLOOKUP(C816,customers!$A$2:$A$1001,customers!$I$2:$I$1001)</f>
        <v>No</v>
      </c>
    </row>
    <row r="817" spans="1:16" x14ac:dyDescent="0.2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_xlfn.XLOOKUP(C817,customers!$A$2:$A$1001,customers!$I$2:$I$1001)</f>
        <v>No</v>
      </c>
    </row>
    <row r="818" spans="1:16" x14ac:dyDescent="0.2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_xlfn.XLOOKUP(C818,customers!$A$2:$A$1001,customers!$I$2:$I$1001)</f>
        <v>No</v>
      </c>
    </row>
    <row r="819" spans="1:16" x14ac:dyDescent="0.2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_xlfn.XLOOKUP(C819,customers!$A$2:$A$1001,customers!$I$2:$I$1001)</f>
        <v>No</v>
      </c>
    </row>
    <row r="820" spans="1:16" x14ac:dyDescent="0.2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_xlfn.XLOOKUP(C820,customers!$A$2:$A$1001,customers!$I$2:$I$1001)</f>
        <v>No</v>
      </c>
    </row>
    <row r="821" spans="1:16" x14ac:dyDescent="0.2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_xlfn.XLOOKUP(C821,customers!$A$2:$A$1001,customers!$I$2:$I$1001)</f>
        <v>Yes</v>
      </c>
    </row>
    <row r="822" spans="1:16" x14ac:dyDescent="0.2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_xlfn.XLOOKUP(C822,customers!$A$2:$A$1001,customers!$I$2:$I$1001)</f>
        <v>Yes</v>
      </c>
    </row>
    <row r="823" spans="1:16" x14ac:dyDescent="0.2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_xlfn.XLOOKUP(C823,customers!$A$2:$A$1001,customers!$I$2:$I$1001)</f>
        <v>No</v>
      </c>
    </row>
    <row r="824" spans="1:16" x14ac:dyDescent="0.2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_xlfn.XLOOKUP(C824,customers!$A$2:$A$1001,customers!$I$2:$I$1001)</f>
        <v>No</v>
      </c>
    </row>
    <row r="825" spans="1:16" x14ac:dyDescent="0.2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_xlfn.XLOOKUP(C825,customers!$A$2:$A$1001,customers!$I$2:$I$1001)</f>
        <v>Yes</v>
      </c>
    </row>
    <row r="826" spans="1:16" x14ac:dyDescent="0.2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_xlfn.XLOOKUP(C826,customers!$A$2:$A$1001,customers!$I$2:$I$1001)</f>
        <v>Yes</v>
      </c>
    </row>
    <row r="827" spans="1:16" x14ac:dyDescent="0.2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_xlfn.XLOOKUP(C827,customers!$A$2:$A$1001,customers!$I$2:$I$1001)</f>
        <v>Yes</v>
      </c>
    </row>
    <row r="828" spans="1:16" x14ac:dyDescent="0.2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_xlfn.XLOOKUP(C828,customers!$A$2:$A$1001,customers!$I$2:$I$1001)</f>
        <v>Yes</v>
      </c>
    </row>
    <row r="829" spans="1:16" x14ac:dyDescent="0.2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_xlfn.XLOOKUP(C829,customers!$A$2:$A$1001,customers!$I$2:$I$1001)</f>
        <v>No</v>
      </c>
    </row>
    <row r="830" spans="1:16" x14ac:dyDescent="0.2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_xlfn.XLOOKUP(C830,customers!$A$2:$A$1001,customers!$I$2:$I$1001)</f>
        <v>Yes</v>
      </c>
    </row>
    <row r="831" spans="1:16" x14ac:dyDescent="0.2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_xlfn.XLOOKUP(C831,customers!$A$2:$A$1001,customers!$I$2:$I$1001)</f>
        <v>No</v>
      </c>
    </row>
    <row r="832" spans="1:16" x14ac:dyDescent="0.2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_xlfn.XLOOKUP(C832,customers!$A$2:$A$1001,customers!$I$2:$I$1001)</f>
        <v>No</v>
      </c>
    </row>
    <row r="833" spans="1:16" x14ac:dyDescent="0.2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_xlfn.XLOOKUP(C833,customers!$A$2:$A$1001,customers!$I$2:$I$1001)</f>
        <v>No</v>
      </c>
    </row>
    <row r="834" spans="1:16" x14ac:dyDescent="0.2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_xlfn.XLOOKUP(C834,customers!$A$2:$A$1001,customers!$I$2:$I$1001)</f>
        <v>No</v>
      </c>
    </row>
    <row r="835" spans="1:16" x14ac:dyDescent="0.2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 = "Rob","Robusta",IF(I835 = "Exc","Excelsa",IF(I835 = "Ara", "Arabica",IF(I835 = "Lib","Liberica",""))))</f>
        <v>Robusta</v>
      </c>
      <c r="O835" t="str">
        <f t="shared" ref="O835:O898" si="41">IF(J835="M","Medium",IF(J835="L","Light",IF(J835="D","Dark","")))</f>
        <v>Dark</v>
      </c>
      <c r="P835" t="str">
        <f>_xlfn.XLOOKUP(C835,customers!$A$2:$A$1001,customers!$I$2:$I$1001)</f>
        <v>Yes</v>
      </c>
    </row>
    <row r="836" spans="1:16" x14ac:dyDescent="0.2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_xlfn.XLOOKUP(C836,customers!$A$2:$A$1001,customers!$I$2:$I$1001)</f>
        <v>No</v>
      </c>
    </row>
    <row r="837" spans="1:16" x14ac:dyDescent="0.2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_xlfn.XLOOKUP(C837,customers!$A$2:$A$1001,customers!$I$2:$I$1001)</f>
        <v>Yes</v>
      </c>
    </row>
    <row r="838" spans="1:16" x14ac:dyDescent="0.2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_xlfn.XLOOKUP(C838,customers!$A$2:$A$1001,customers!$I$2:$I$1001)</f>
        <v>No</v>
      </c>
    </row>
    <row r="839" spans="1:16" x14ac:dyDescent="0.2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_xlfn.XLOOKUP(C839,customers!$A$2:$A$1001,customers!$I$2:$I$1001)</f>
        <v>No</v>
      </c>
    </row>
    <row r="840" spans="1:16" x14ac:dyDescent="0.2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_xlfn.XLOOKUP(C840,customers!$A$2:$A$1001,customers!$I$2:$I$1001)</f>
        <v>No</v>
      </c>
    </row>
    <row r="841" spans="1:16" x14ac:dyDescent="0.2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_xlfn.XLOOKUP(C841,customers!$A$2:$A$1001,customers!$I$2:$I$1001)</f>
        <v>No</v>
      </c>
    </row>
    <row r="842" spans="1:16" x14ac:dyDescent="0.2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_xlfn.XLOOKUP(C842,customers!$A$2:$A$1001,customers!$I$2:$I$1001)</f>
        <v>Yes</v>
      </c>
    </row>
    <row r="843" spans="1:16" x14ac:dyDescent="0.2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_xlfn.XLOOKUP(C843,customers!$A$2:$A$1001,customers!$I$2:$I$1001)</f>
        <v>No</v>
      </c>
    </row>
    <row r="844" spans="1:16" x14ac:dyDescent="0.2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_xlfn.XLOOKUP(C844,customers!$A$2:$A$1001,customers!$I$2:$I$1001)</f>
        <v>Yes</v>
      </c>
    </row>
    <row r="845" spans="1:16" x14ac:dyDescent="0.2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_xlfn.XLOOKUP(C845,customers!$A$2:$A$1001,customers!$I$2:$I$1001)</f>
        <v>Yes</v>
      </c>
    </row>
    <row r="846" spans="1:16" x14ac:dyDescent="0.2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_xlfn.XLOOKUP(C846,customers!$A$2:$A$1001,customers!$I$2:$I$1001)</f>
        <v>Yes</v>
      </c>
    </row>
    <row r="847" spans="1:16" x14ac:dyDescent="0.2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_xlfn.XLOOKUP(C847,customers!$A$2:$A$1001,customers!$I$2:$I$1001)</f>
        <v>No</v>
      </c>
    </row>
    <row r="848" spans="1:16" x14ac:dyDescent="0.2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_xlfn.XLOOKUP(C848,customers!$A$2:$A$1001,customers!$I$2:$I$1001)</f>
        <v>Yes</v>
      </c>
    </row>
    <row r="849" spans="1:16" x14ac:dyDescent="0.2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_xlfn.XLOOKUP(C849,customers!$A$2:$A$1001,customers!$I$2:$I$1001)</f>
        <v>Yes</v>
      </c>
    </row>
    <row r="850" spans="1:16" x14ac:dyDescent="0.2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_xlfn.XLOOKUP(C850,customers!$A$2:$A$1001,customers!$I$2:$I$1001)</f>
        <v>No</v>
      </c>
    </row>
    <row r="851" spans="1:16" x14ac:dyDescent="0.2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_xlfn.XLOOKUP(C851,customers!$A$2:$A$1001,customers!$I$2:$I$1001)</f>
        <v>Yes</v>
      </c>
    </row>
    <row r="852" spans="1:16" x14ac:dyDescent="0.2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_xlfn.XLOOKUP(C852,customers!$A$2:$A$1001,customers!$I$2:$I$1001)</f>
        <v>Yes</v>
      </c>
    </row>
    <row r="853" spans="1:16" x14ac:dyDescent="0.2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_xlfn.XLOOKUP(C853,customers!$A$2:$A$1001,customers!$I$2:$I$1001)</f>
        <v>Yes</v>
      </c>
    </row>
    <row r="854" spans="1:16" x14ac:dyDescent="0.2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_xlfn.XLOOKUP(C854,customers!$A$2:$A$1001,customers!$I$2:$I$1001)</f>
        <v>Yes</v>
      </c>
    </row>
    <row r="855" spans="1:16" x14ac:dyDescent="0.2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_xlfn.XLOOKUP(C855,customers!$A$2:$A$1001,customers!$I$2:$I$1001)</f>
        <v>No</v>
      </c>
    </row>
    <row r="856" spans="1:16" x14ac:dyDescent="0.2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_xlfn.XLOOKUP(C856,customers!$A$2:$A$1001,customers!$I$2:$I$1001)</f>
        <v>Yes</v>
      </c>
    </row>
    <row r="857" spans="1:16" x14ac:dyDescent="0.2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_xlfn.XLOOKUP(C857,customers!$A$2:$A$1001,customers!$I$2:$I$1001)</f>
        <v>No</v>
      </c>
    </row>
    <row r="858" spans="1:16" x14ac:dyDescent="0.2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_xlfn.XLOOKUP(C858,customers!$A$2:$A$1001,customers!$I$2:$I$1001)</f>
        <v>Yes</v>
      </c>
    </row>
    <row r="859" spans="1:16" x14ac:dyDescent="0.2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_xlfn.XLOOKUP(C859,customers!$A$2:$A$1001,customers!$I$2:$I$1001)</f>
        <v>No</v>
      </c>
    </row>
    <row r="860" spans="1:16" x14ac:dyDescent="0.2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_xlfn.XLOOKUP(C860,customers!$A$2:$A$1001,customers!$I$2:$I$1001)</f>
        <v>No</v>
      </c>
    </row>
    <row r="861" spans="1:16" x14ac:dyDescent="0.2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_xlfn.XLOOKUP(C861,customers!$A$2:$A$1001,customers!$I$2:$I$1001)</f>
        <v>No</v>
      </c>
    </row>
    <row r="862" spans="1:16" x14ac:dyDescent="0.2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_xlfn.XLOOKUP(C862,customers!$A$2:$A$1001,customers!$I$2:$I$1001)</f>
        <v>No</v>
      </c>
    </row>
    <row r="863" spans="1:16" x14ac:dyDescent="0.2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_xlfn.XLOOKUP(C863,customers!$A$2:$A$1001,customers!$I$2:$I$1001)</f>
        <v>Yes</v>
      </c>
    </row>
    <row r="864" spans="1:16" x14ac:dyDescent="0.2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_xlfn.XLOOKUP(C864,customers!$A$2:$A$1001,customers!$I$2:$I$1001)</f>
        <v>Yes</v>
      </c>
    </row>
    <row r="865" spans="1:16" x14ac:dyDescent="0.2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_xlfn.XLOOKUP(C865,customers!$A$2:$A$1001,customers!$I$2:$I$1001)</f>
        <v>Yes</v>
      </c>
    </row>
    <row r="866" spans="1:16" x14ac:dyDescent="0.2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_xlfn.XLOOKUP(C866,customers!$A$2:$A$1001,customers!$I$2:$I$1001)</f>
        <v>No</v>
      </c>
    </row>
    <row r="867" spans="1:16" x14ac:dyDescent="0.2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_xlfn.XLOOKUP(C867,customers!$A$2:$A$1001,customers!$I$2:$I$1001)</f>
        <v>Yes</v>
      </c>
    </row>
    <row r="868" spans="1:16" x14ac:dyDescent="0.2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_xlfn.XLOOKUP(C868,customers!$A$2:$A$1001,customers!$I$2:$I$1001)</f>
        <v>No</v>
      </c>
    </row>
    <row r="869" spans="1:16" x14ac:dyDescent="0.2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_xlfn.XLOOKUP(C869,customers!$A$2:$A$1001,customers!$I$2:$I$1001)</f>
        <v>Yes</v>
      </c>
    </row>
    <row r="870" spans="1:16" x14ac:dyDescent="0.2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_xlfn.XLOOKUP(C870,customers!$A$2:$A$1001,customers!$I$2:$I$1001)</f>
        <v>Yes</v>
      </c>
    </row>
    <row r="871" spans="1:16" x14ac:dyDescent="0.2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_xlfn.XLOOKUP(C871,customers!$A$2:$A$1001,customers!$I$2:$I$1001)</f>
        <v>Yes</v>
      </c>
    </row>
    <row r="872" spans="1:16" x14ac:dyDescent="0.2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_xlfn.XLOOKUP(C872,customers!$A$2:$A$1001,customers!$I$2:$I$1001)</f>
        <v>Yes</v>
      </c>
    </row>
    <row r="873" spans="1:16" x14ac:dyDescent="0.2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_xlfn.XLOOKUP(C873,customers!$A$2:$A$1001,customers!$I$2:$I$1001)</f>
        <v>Yes</v>
      </c>
    </row>
    <row r="874" spans="1:16" x14ac:dyDescent="0.2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_xlfn.XLOOKUP(C874,customers!$A$2:$A$1001,customers!$I$2:$I$1001)</f>
        <v>No</v>
      </c>
    </row>
    <row r="875" spans="1:16" x14ac:dyDescent="0.2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_xlfn.XLOOKUP(C875,customers!$A$2:$A$1001,customers!$I$2:$I$1001)</f>
        <v>Yes</v>
      </c>
    </row>
    <row r="876" spans="1:16" x14ac:dyDescent="0.2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_xlfn.XLOOKUP(C876,customers!$A$2:$A$1001,customers!$I$2:$I$1001)</f>
        <v>No</v>
      </c>
    </row>
    <row r="877" spans="1:16" x14ac:dyDescent="0.2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_xlfn.XLOOKUP(C877,customers!$A$2:$A$1001,customers!$I$2:$I$1001)</f>
        <v>No</v>
      </c>
    </row>
    <row r="878" spans="1:16" x14ac:dyDescent="0.2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_xlfn.XLOOKUP(C878,customers!$A$2:$A$1001,customers!$I$2:$I$1001)</f>
        <v>No</v>
      </c>
    </row>
    <row r="879" spans="1:16" x14ac:dyDescent="0.2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_xlfn.XLOOKUP(C879,customers!$A$2:$A$1001,customers!$I$2:$I$1001)</f>
        <v>No</v>
      </c>
    </row>
    <row r="880" spans="1:16" x14ac:dyDescent="0.2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_xlfn.XLOOKUP(C880,customers!$A$2:$A$1001,customers!$I$2:$I$1001)</f>
        <v>Yes</v>
      </c>
    </row>
    <row r="881" spans="1:16" x14ac:dyDescent="0.2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_xlfn.XLOOKUP(C881,customers!$A$2:$A$1001,customers!$I$2:$I$1001)</f>
        <v>No</v>
      </c>
    </row>
    <row r="882" spans="1:16" x14ac:dyDescent="0.2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_xlfn.XLOOKUP(C882,customers!$A$2:$A$1001,customers!$I$2:$I$1001)</f>
        <v>No</v>
      </c>
    </row>
    <row r="883" spans="1:16" x14ac:dyDescent="0.2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_xlfn.XLOOKUP(C883,customers!$A$2:$A$1001,customers!$I$2:$I$1001)</f>
        <v>Yes</v>
      </c>
    </row>
    <row r="884" spans="1:16" x14ac:dyDescent="0.2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_xlfn.XLOOKUP(C884,customers!$A$2:$A$1001,customers!$I$2:$I$1001)</f>
        <v>Yes</v>
      </c>
    </row>
    <row r="885" spans="1:16" x14ac:dyDescent="0.2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_xlfn.XLOOKUP(C885,customers!$A$2:$A$1001,customers!$I$2:$I$1001)</f>
        <v>Yes</v>
      </c>
    </row>
    <row r="886" spans="1:16" x14ac:dyDescent="0.2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_xlfn.XLOOKUP(C886,customers!$A$2:$A$1001,customers!$I$2:$I$1001)</f>
        <v>Yes</v>
      </c>
    </row>
    <row r="887" spans="1:16" x14ac:dyDescent="0.2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_xlfn.XLOOKUP(C887,customers!$A$2:$A$1001,customers!$I$2:$I$1001)</f>
        <v>No</v>
      </c>
    </row>
    <row r="888" spans="1:16" x14ac:dyDescent="0.2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_xlfn.XLOOKUP(C888,customers!$A$2:$A$1001,customers!$I$2:$I$1001)</f>
        <v>No</v>
      </c>
    </row>
    <row r="889" spans="1:16" x14ac:dyDescent="0.2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_xlfn.XLOOKUP(C889,customers!$A$2:$A$1001,customers!$I$2:$I$1001)</f>
        <v>No</v>
      </c>
    </row>
    <row r="890" spans="1:16" x14ac:dyDescent="0.2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_xlfn.XLOOKUP(C890,customers!$A$2:$A$1001,customers!$I$2:$I$1001)</f>
        <v>Yes</v>
      </c>
    </row>
    <row r="891" spans="1:16" x14ac:dyDescent="0.2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_xlfn.XLOOKUP(C891,customers!$A$2:$A$1001,customers!$I$2:$I$1001)</f>
        <v>Yes</v>
      </c>
    </row>
    <row r="892" spans="1:16" x14ac:dyDescent="0.2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_xlfn.XLOOKUP(C892,customers!$A$2:$A$1001,customers!$I$2:$I$1001)</f>
        <v>Yes</v>
      </c>
    </row>
    <row r="893" spans="1:16" x14ac:dyDescent="0.2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_xlfn.XLOOKUP(C893,customers!$A$2:$A$1001,customers!$I$2:$I$1001)</f>
        <v>Yes</v>
      </c>
    </row>
    <row r="894" spans="1:16" x14ac:dyDescent="0.2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_xlfn.XLOOKUP(C894,customers!$A$2:$A$1001,customers!$I$2:$I$1001)</f>
        <v>No</v>
      </c>
    </row>
    <row r="895" spans="1:16" x14ac:dyDescent="0.2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_xlfn.XLOOKUP(C895,customers!$A$2:$A$1001,customers!$I$2:$I$1001)</f>
        <v>Yes</v>
      </c>
    </row>
    <row r="896" spans="1:16" x14ac:dyDescent="0.2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_xlfn.XLOOKUP(C896,customers!$A$2:$A$1001,customers!$I$2:$I$1001)</f>
        <v>Yes</v>
      </c>
    </row>
    <row r="897" spans="1:16" x14ac:dyDescent="0.2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_xlfn.XLOOKUP(C897,customers!$A$2:$A$1001,customers!$I$2:$I$1001)</f>
        <v>No</v>
      </c>
    </row>
    <row r="898" spans="1:16" x14ac:dyDescent="0.2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_xlfn.XLOOKUP(C898,customers!$A$2:$A$1001,customers!$I$2:$I$1001)</f>
        <v>Yes</v>
      </c>
    </row>
    <row r="899" spans="1:16" x14ac:dyDescent="0.2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 = "Rob","Robusta",IF(I899 = "Exc","Excelsa",IF(I899 = "Ara", "Arabica",IF(I899 = "Lib","Liberica",""))))</f>
        <v>Excelsa</v>
      </c>
      <c r="O899" t="str">
        <f t="shared" ref="O899:O962" si="44">IF(J899="M","Medium",IF(J899="L","Light",IF(J899="D","Dark","")))</f>
        <v>Dark</v>
      </c>
      <c r="P899" t="str">
        <f>_xlfn.XLOOKUP(C899,customers!$A$2:$A$1001,customers!$I$2:$I$1001)</f>
        <v>No</v>
      </c>
    </row>
    <row r="900" spans="1:16" x14ac:dyDescent="0.2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_xlfn.XLOOKUP(C900,customers!$A$2:$A$1001,customers!$I$2:$I$1001)</f>
        <v>No</v>
      </c>
    </row>
    <row r="901" spans="1:16" x14ac:dyDescent="0.2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_xlfn.XLOOKUP(C901,customers!$A$2:$A$1001,customers!$I$2:$I$1001)</f>
        <v>No</v>
      </c>
    </row>
    <row r="902" spans="1:16" x14ac:dyDescent="0.2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_xlfn.XLOOKUP(C902,customers!$A$2:$A$1001,customers!$I$2:$I$1001)</f>
        <v>No</v>
      </c>
    </row>
    <row r="903" spans="1:16" x14ac:dyDescent="0.2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_xlfn.XLOOKUP(C903,customers!$A$2:$A$1001,customers!$I$2:$I$1001)</f>
        <v>Yes</v>
      </c>
    </row>
    <row r="904" spans="1:16" x14ac:dyDescent="0.2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_xlfn.XLOOKUP(C904,customers!$A$2:$A$1001,customers!$I$2:$I$1001)</f>
        <v>No</v>
      </c>
    </row>
    <row r="905" spans="1:16" x14ac:dyDescent="0.2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_xlfn.XLOOKUP(C905,customers!$A$2:$A$1001,customers!$I$2:$I$1001)</f>
        <v>No</v>
      </c>
    </row>
    <row r="906" spans="1:16" x14ac:dyDescent="0.2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_xlfn.XLOOKUP(C906,customers!$A$2:$A$1001,customers!$I$2:$I$1001)</f>
        <v>No</v>
      </c>
    </row>
    <row r="907" spans="1:16" x14ac:dyDescent="0.2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_xlfn.XLOOKUP(C907,customers!$A$2:$A$1001,customers!$I$2:$I$1001)</f>
        <v>Yes</v>
      </c>
    </row>
    <row r="908" spans="1:16" x14ac:dyDescent="0.2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_xlfn.XLOOKUP(C908,customers!$A$2:$A$1001,customers!$I$2:$I$1001)</f>
        <v>Yes</v>
      </c>
    </row>
    <row r="909" spans="1:16" x14ac:dyDescent="0.2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_xlfn.XLOOKUP(C909,customers!$A$2:$A$1001,customers!$I$2:$I$1001)</f>
        <v>No</v>
      </c>
    </row>
    <row r="910" spans="1:16" x14ac:dyDescent="0.2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_xlfn.XLOOKUP(C910,customers!$A$2:$A$1001,customers!$I$2:$I$1001)</f>
        <v>No</v>
      </c>
    </row>
    <row r="911" spans="1:16" x14ac:dyDescent="0.2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_xlfn.XLOOKUP(C911,customers!$A$2:$A$1001,customers!$I$2:$I$1001)</f>
        <v>No</v>
      </c>
    </row>
    <row r="912" spans="1:16" x14ac:dyDescent="0.2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_xlfn.XLOOKUP(C912,customers!$A$2:$A$1001,customers!$I$2:$I$1001)</f>
        <v>No</v>
      </c>
    </row>
    <row r="913" spans="1:16" x14ac:dyDescent="0.2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_xlfn.XLOOKUP(C913,customers!$A$2:$A$1001,customers!$I$2:$I$1001)</f>
        <v>Yes</v>
      </c>
    </row>
    <row r="914" spans="1:16" x14ac:dyDescent="0.2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_xlfn.XLOOKUP(C914,customers!$A$2:$A$1001,customers!$I$2:$I$1001)</f>
        <v>Yes</v>
      </c>
    </row>
    <row r="915" spans="1:16" x14ac:dyDescent="0.2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_xlfn.XLOOKUP(C915,customers!$A$2:$A$1001,customers!$I$2:$I$1001)</f>
        <v>No</v>
      </c>
    </row>
    <row r="916" spans="1:16" x14ac:dyDescent="0.2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_xlfn.XLOOKUP(C916,customers!$A$2:$A$1001,customers!$I$2:$I$1001)</f>
        <v>No</v>
      </c>
    </row>
    <row r="917" spans="1:16" x14ac:dyDescent="0.2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_xlfn.XLOOKUP(C917,customers!$A$2:$A$1001,customers!$I$2:$I$1001)</f>
        <v>Yes</v>
      </c>
    </row>
    <row r="918" spans="1:16" x14ac:dyDescent="0.2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_xlfn.XLOOKUP(C918,customers!$A$2:$A$1001,customers!$I$2:$I$1001)</f>
        <v>Yes</v>
      </c>
    </row>
    <row r="919" spans="1:16" x14ac:dyDescent="0.2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_xlfn.XLOOKUP(C919,customers!$A$2:$A$1001,customers!$I$2:$I$1001)</f>
        <v>No</v>
      </c>
    </row>
    <row r="920" spans="1:16" x14ac:dyDescent="0.2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_xlfn.XLOOKUP(C920,customers!$A$2:$A$1001,customers!$I$2:$I$1001)</f>
        <v>No</v>
      </c>
    </row>
    <row r="921" spans="1:16" x14ac:dyDescent="0.2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_xlfn.XLOOKUP(C921,customers!$A$2:$A$1001,customers!$I$2:$I$1001)</f>
        <v>Yes</v>
      </c>
    </row>
    <row r="922" spans="1:16" x14ac:dyDescent="0.2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_xlfn.XLOOKUP(C922,customers!$A$2:$A$1001,customers!$I$2:$I$1001)</f>
        <v>No</v>
      </c>
    </row>
    <row r="923" spans="1:16" x14ac:dyDescent="0.2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_xlfn.XLOOKUP(C923,customers!$A$2:$A$1001,customers!$I$2:$I$1001)</f>
        <v>No</v>
      </c>
    </row>
    <row r="924" spans="1:16" x14ac:dyDescent="0.2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_xlfn.XLOOKUP(C924,customers!$A$2:$A$1001,customers!$I$2:$I$1001)</f>
        <v>Yes</v>
      </c>
    </row>
    <row r="925" spans="1:16" x14ac:dyDescent="0.2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_xlfn.XLOOKUP(C925,customers!$A$2:$A$1001,customers!$I$2:$I$1001)</f>
        <v>No</v>
      </c>
    </row>
    <row r="926" spans="1:16" x14ac:dyDescent="0.2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_xlfn.XLOOKUP(C926,customers!$A$2:$A$1001,customers!$I$2:$I$1001)</f>
        <v>No</v>
      </c>
    </row>
    <row r="927" spans="1:16" x14ac:dyDescent="0.2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_xlfn.XLOOKUP(C927,customers!$A$2:$A$1001,customers!$I$2:$I$1001)</f>
        <v>No</v>
      </c>
    </row>
    <row r="928" spans="1:16" x14ac:dyDescent="0.2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_xlfn.XLOOKUP(C928,customers!$A$2:$A$1001,customers!$I$2:$I$1001)</f>
        <v>Yes</v>
      </c>
    </row>
    <row r="929" spans="1:16" x14ac:dyDescent="0.2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_xlfn.XLOOKUP(C929,customers!$A$2:$A$1001,customers!$I$2:$I$1001)</f>
        <v>No</v>
      </c>
    </row>
    <row r="930" spans="1:16" x14ac:dyDescent="0.2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_xlfn.XLOOKUP(C930,customers!$A$2:$A$1001,customers!$I$2:$I$1001)</f>
        <v>Yes</v>
      </c>
    </row>
    <row r="931" spans="1:16" x14ac:dyDescent="0.2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_xlfn.XLOOKUP(C931,customers!$A$2:$A$1001,customers!$I$2:$I$1001)</f>
        <v>Yes</v>
      </c>
    </row>
    <row r="932" spans="1:16" x14ac:dyDescent="0.2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_xlfn.XLOOKUP(C932,customers!$A$2:$A$1001,customers!$I$2:$I$1001)</f>
        <v>Yes</v>
      </c>
    </row>
    <row r="933" spans="1:16" x14ac:dyDescent="0.2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_xlfn.XLOOKUP(C933,customers!$A$2:$A$1001,customers!$I$2:$I$1001)</f>
        <v>Yes</v>
      </c>
    </row>
    <row r="934" spans="1:16" x14ac:dyDescent="0.2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_xlfn.XLOOKUP(C934,customers!$A$2:$A$1001,customers!$I$2:$I$1001)</f>
        <v>No</v>
      </c>
    </row>
    <row r="935" spans="1:16" x14ac:dyDescent="0.2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_xlfn.XLOOKUP(C935,customers!$A$2:$A$1001,customers!$I$2:$I$1001)</f>
        <v>Yes</v>
      </c>
    </row>
    <row r="936" spans="1:16" x14ac:dyDescent="0.2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_xlfn.XLOOKUP(C936,customers!$A$2:$A$1001,customers!$I$2:$I$1001)</f>
        <v>No</v>
      </c>
    </row>
    <row r="937" spans="1:16" x14ac:dyDescent="0.2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_xlfn.XLOOKUP(C937,customers!$A$2:$A$1001,customers!$I$2:$I$1001)</f>
        <v>Yes</v>
      </c>
    </row>
    <row r="938" spans="1:16" x14ac:dyDescent="0.2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_xlfn.XLOOKUP(C938,customers!$A$2:$A$1001,customers!$I$2:$I$1001)</f>
        <v>Yes</v>
      </c>
    </row>
    <row r="939" spans="1:16" x14ac:dyDescent="0.2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_xlfn.XLOOKUP(C939,customers!$A$2:$A$1001,customers!$I$2:$I$1001)</f>
        <v>Yes</v>
      </c>
    </row>
    <row r="940" spans="1:16" x14ac:dyDescent="0.2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_xlfn.XLOOKUP(C940,customers!$A$2:$A$1001,customers!$I$2:$I$1001)</f>
        <v>Yes</v>
      </c>
    </row>
    <row r="941" spans="1:16" x14ac:dyDescent="0.2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_xlfn.XLOOKUP(C941,customers!$A$2:$A$1001,customers!$I$2:$I$1001)</f>
        <v>No</v>
      </c>
    </row>
    <row r="942" spans="1:16" x14ac:dyDescent="0.2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_xlfn.XLOOKUP(C942,customers!$A$2:$A$1001,customers!$I$2:$I$1001)</f>
        <v>Yes</v>
      </c>
    </row>
    <row r="943" spans="1:16" x14ac:dyDescent="0.2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_xlfn.XLOOKUP(C943,customers!$A$2:$A$1001,customers!$I$2:$I$1001)</f>
        <v>Yes</v>
      </c>
    </row>
    <row r="944" spans="1:16" x14ac:dyDescent="0.2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_xlfn.XLOOKUP(C944,customers!$A$2:$A$1001,customers!$I$2:$I$1001)</f>
        <v>No</v>
      </c>
    </row>
    <row r="945" spans="1:16" x14ac:dyDescent="0.2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_xlfn.XLOOKUP(C945,customers!$A$2:$A$1001,customers!$I$2:$I$1001)</f>
        <v>No</v>
      </c>
    </row>
    <row r="946" spans="1:16" x14ac:dyDescent="0.2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_xlfn.XLOOKUP(C946,customers!$A$2:$A$1001,customers!$I$2:$I$1001)</f>
        <v>No</v>
      </c>
    </row>
    <row r="947" spans="1:16" x14ac:dyDescent="0.2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_xlfn.XLOOKUP(C947,customers!$A$2:$A$1001,customers!$I$2:$I$1001)</f>
        <v>No</v>
      </c>
    </row>
    <row r="948" spans="1:16" x14ac:dyDescent="0.2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_xlfn.XLOOKUP(C948,customers!$A$2:$A$1001,customers!$I$2:$I$1001)</f>
        <v>No</v>
      </c>
    </row>
    <row r="949" spans="1:16" x14ac:dyDescent="0.2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_xlfn.XLOOKUP(C949,customers!$A$2:$A$1001,customers!$I$2:$I$1001)</f>
        <v>No</v>
      </c>
    </row>
    <row r="950" spans="1:16" x14ac:dyDescent="0.2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_xlfn.XLOOKUP(C950,customers!$A$2:$A$1001,customers!$I$2:$I$1001)</f>
        <v>Yes</v>
      </c>
    </row>
    <row r="951" spans="1:16" x14ac:dyDescent="0.2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_xlfn.XLOOKUP(C951,customers!$A$2:$A$1001,customers!$I$2:$I$1001)</f>
        <v>No</v>
      </c>
    </row>
    <row r="952" spans="1:16" x14ac:dyDescent="0.2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_xlfn.XLOOKUP(C952,customers!$A$2:$A$1001,customers!$I$2:$I$1001)</f>
        <v>Yes</v>
      </c>
    </row>
    <row r="953" spans="1:16" x14ac:dyDescent="0.2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_xlfn.XLOOKUP(C953,customers!$A$2:$A$1001,customers!$I$2:$I$1001)</f>
        <v>No</v>
      </c>
    </row>
    <row r="954" spans="1:16" x14ac:dyDescent="0.2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_xlfn.XLOOKUP(C954,customers!$A$2:$A$1001,customers!$I$2:$I$1001)</f>
        <v>Yes</v>
      </c>
    </row>
    <row r="955" spans="1:16" x14ac:dyDescent="0.2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_xlfn.XLOOKUP(C955,customers!$A$2:$A$1001,customers!$I$2:$I$1001)</f>
        <v>Yes</v>
      </c>
    </row>
    <row r="956" spans="1:16" x14ac:dyDescent="0.2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_xlfn.XLOOKUP(C956,customers!$A$2:$A$1001,customers!$I$2:$I$1001)</f>
        <v>Yes</v>
      </c>
    </row>
    <row r="957" spans="1:16" x14ac:dyDescent="0.2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_xlfn.XLOOKUP(C957,customers!$A$2:$A$1001,customers!$I$2:$I$1001)</f>
        <v>Yes</v>
      </c>
    </row>
    <row r="958" spans="1:16" x14ac:dyDescent="0.2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_xlfn.XLOOKUP(C958,customers!$A$2:$A$1001,customers!$I$2:$I$1001)</f>
        <v>Yes</v>
      </c>
    </row>
    <row r="959" spans="1:16" x14ac:dyDescent="0.2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_xlfn.XLOOKUP(C959,customers!$A$2:$A$1001,customers!$I$2:$I$1001)</f>
        <v>Yes</v>
      </c>
    </row>
    <row r="960" spans="1:16" x14ac:dyDescent="0.2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_xlfn.XLOOKUP(C960,customers!$A$2:$A$1001,customers!$I$2:$I$1001)</f>
        <v>Yes</v>
      </c>
    </row>
    <row r="961" spans="1:16" x14ac:dyDescent="0.2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_xlfn.XLOOKUP(C961,customers!$A$2:$A$1001,customers!$I$2:$I$1001)</f>
        <v>Yes</v>
      </c>
    </row>
    <row r="962" spans="1:16" x14ac:dyDescent="0.2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_xlfn.XLOOKUP(C962,customers!$A$2:$A$1001,customers!$I$2:$I$1001)</f>
        <v>Yes</v>
      </c>
    </row>
    <row r="963" spans="1:16" x14ac:dyDescent="0.2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 = "Rob","Robusta",IF(I963 = "Exc","Excelsa",IF(I963 = "Ara", "Arabica",IF(I963 = "Lib","Liberica",""))))</f>
        <v>Arabica</v>
      </c>
      <c r="O963" t="str">
        <f t="shared" ref="O963:O1001" si="47">IF(J963="M","Medium",IF(J963="L","Light",IF(J963="D","Dark","")))</f>
        <v>Dark</v>
      </c>
      <c r="P963" t="str">
        <f>_xlfn.XLOOKUP(C963,customers!$A$2:$A$1001,customers!$I$2:$I$1001)</f>
        <v>Yes</v>
      </c>
    </row>
    <row r="964" spans="1:16" x14ac:dyDescent="0.2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_xlfn.XLOOKUP(C964,customers!$A$2:$A$1001,customers!$I$2:$I$1001)</f>
        <v>Yes</v>
      </c>
    </row>
    <row r="965" spans="1:16" x14ac:dyDescent="0.2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_xlfn.XLOOKUP(C965,customers!$A$2:$A$1001,customers!$I$2:$I$1001)</f>
        <v>Yes</v>
      </c>
    </row>
    <row r="966" spans="1:16" x14ac:dyDescent="0.2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_xlfn.XLOOKUP(C966,customers!$A$2:$A$1001,customers!$I$2:$I$1001)</f>
        <v>No</v>
      </c>
    </row>
    <row r="967" spans="1:16" x14ac:dyDescent="0.2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_xlfn.XLOOKUP(C967,customers!$A$2:$A$1001,customers!$I$2:$I$1001)</f>
        <v>Yes</v>
      </c>
    </row>
    <row r="968" spans="1:16" x14ac:dyDescent="0.2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_xlfn.XLOOKUP(C968,customers!$A$2:$A$1001,customers!$I$2:$I$1001)</f>
        <v>Yes</v>
      </c>
    </row>
    <row r="969" spans="1:16" x14ac:dyDescent="0.2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_xlfn.XLOOKUP(C969,customers!$A$2:$A$1001,customers!$I$2:$I$1001)</f>
        <v>Yes</v>
      </c>
    </row>
    <row r="970" spans="1:16" x14ac:dyDescent="0.2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_xlfn.XLOOKUP(C970,customers!$A$2:$A$1001,customers!$I$2:$I$1001)</f>
        <v>No</v>
      </c>
    </row>
    <row r="971" spans="1:16" x14ac:dyDescent="0.2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_xlfn.XLOOKUP(C971,customers!$A$2:$A$1001,customers!$I$2:$I$1001)</f>
        <v>Yes</v>
      </c>
    </row>
    <row r="972" spans="1:16" x14ac:dyDescent="0.2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_xlfn.XLOOKUP(C972,customers!$A$2:$A$1001,customers!$I$2:$I$1001)</f>
        <v>No</v>
      </c>
    </row>
    <row r="973" spans="1:16" x14ac:dyDescent="0.2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_xlfn.XLOOKUP(C973,customers!$A$2:$A$1001,customers!$I$2:$I$1001)</f>
        <v>No</v>
      </c>
    </row>
    <row r="974" spans="1:16" x14ac:dyDescent="0.2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_xlfn.XLOOKUP(C974,customers!$A$2:$A$1001,customers!$I$2:$I$1001)</f>
        <v>Yes</v>
      </c>
    </row>
    <row r="975" spans="1:16" x14ac:dyDescent="0.2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_xlfn.XLOOKUP(C975,customers!$A$2:$A$1001,customers!$I$2:$I$1001)</f>
        <v>No</v>
      </c>
    </row>
    <row r="976" spans="1:16" x14ac:dyDescent="0.2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_xlfn.XLOOKUP(C976,customers!$A$2:$A$1001,customers!$I$2:$I$1001)</f>
        <v>Yes</v>
      </c>
    </row>
    <row r="977" spans="1:16" x14ac:dyDescent="0.2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_xlfn.XLOOKUP(C977,customers!$A$2:$A$1001,customers!$I$2:$I$1001)</f>
        <v>Yes</v>
      </c>
    </row>
    <row r="978" spans="1:16" x14ac:dyDescent="0.2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_xlfn.XLOOKUP(C978,customers!$A$2:$A$1001,customers!$I$2:$I$1001)</f>
        <v>Yes</v>
      </c>
    </row>
    <row r="979" spans="1:16" x14ac:dyDescent="0.2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_xlfn.XLOOKUP(C979,customers!$A$2:$A$1001,customers!$I$2:$I$1001)</f>
        <v>No</v>
      </c>
    </row>
    <row r="980" spans="1:16" x14ac:dyDescent="0.2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_xlfn.XLOOKUP(C980,customers!$A$2:$A$1001,customers!$I$2:$I$1001)</f>
        <v>No</v>
      </c>
    </row>
    <row r="981" spans="1:16" x14ac:dyDescent="0.2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_xlfn.XLOOKUP(C981,customers!$A$2:$A$1001,customers!$I$2:$I$1001)</f>
        <v>No</v>
      </c>
    </row>
    <row r="982" spans="1:16" x14ac:dyDescent="0.2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_xlfn.XLOOKUP(C982,customers!$A$2:$A$1001,customers!$I$2:$I$1001)</f>
        <v>Yes</v>
      </c>
    </row>
    <row r="983" spans="1:16" x14ac:dyDescent="0.2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_xlfn.XLOOKUP(C983,customers!$A$2:$A$1001,customers!$I$2:$I$1001)</f>
        <v>Yes</v>
      </c>
    </row>
    <row r="984" spans="1:16" x14ac:dyDescent="0.2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_xlfn.XLOOKUP(C984,customers!$A$2:$A$1001,customers!$I$2:$I$1001)</f>
        <v>Yes</v>
      </c>
    </row>
    <row r="985" spans="1:16" x14ac:dyDescent="0.2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_xlfn.XLOOKUP(C985,customers!$A$2:$A$1001,customers!$I$2:$I$1001)</f>
        <v>Yes</v>
      </c>
    </row>
    <row r="986" spans="1:16" x14ac:dyDescent="0.2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_xlfn.XLOOKUP(C986,customers!$A$2:$A$1001,customers!$I$2:$I$1001)</f>
        <v>Yes</v>
      </c>
    </row>
    <row r="987" spans="1:16" x14ac:dyDescent="0.2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_xlfn.XLOOKUP(C987,customers!$A$2:$A$1001,customers!$I$2:$I$1001)</f>
        <v>No</v>
      </c>
    </row>
    <row r="988" spans="1:16" x14ac:dyDescent="0.2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_xlfn.XLOOKUP(C988,customers!$A$2:$A$1001,customers!$I$2:$I$1001)</f>
        <v>No</v>
      </c>
    </row>
    <row r="989" spans="1:16" x14ac:dyDescent="0.2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_xlfn.XLOOKUP(C989,customers!$A$2:$A$1001,customers!$I$2:$I$1001)</f>
        <v>Yes</v>
      </c>
    </row>
    <row r="990" spans="1:16" x14ac:dyDescent="0.2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_xlfn.XLOOKUP(C990,customers!$A$2:$A$1001,customers!$I$2:$I$1001)</f>
        <v>Yes</v>
      </c>
    </row>
    <row r="991" spans="1:16" x14ac:dyDescent="0.2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_xlfn.XLOOKUP(C991,customers!$A$2:$A$1001,customers!$I$2:$I$1001)</f>
        <v>Yes</v>
      </c>
    </row>
    <row r="992" spans="1:16" x14ac:dyDescent="0.2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_xlfn.XLOOKUP(C992,customers!$A$2:$A$1001,customers!$I$2:$I$1001)</f>
        <v>No</v>
      </c>
    </row>
    <row r="993" spans="1:16" x14ac:dyDescent="0.2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_xlfn.XLOOKUP(C993,customers!$A$2:$A$1001,customers!$I$2:$I$1001)</f>
        <v>No</v>
      </c>
    </row>
    <row r="994" spans="1:16" x14ac:dyDescent="0.2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_xlfn.XLOOKUP(C994,customers!$A$2:$A$1001,customers!$I$2:$I$1001)</f>
        <v>No</v>
      </c>
    </row>
    <row r="995" spans="1:16" x14ac:dyDescent="0.2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_xlfn.XLOOKUP(C995,customers!$A$2:$A$1001,customers!$I$2:$I$1001)</f>
        <v>No</v>
      </c>
    </row>
    <row r="996" spans="1:16" x14ac:dyDescent="0.2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_xlfn.XLOOKUP(C996,customers!$A$2:$A$1001,customers!$I$2:$I$1001)</f>
        <v>No</v>
      </c>
    </row>
    <row r="997" spans="1:16" x14ac:dyDescent="0.2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_xlfn.XLOOKUP(C997,customers!$A$2:$A$1001,customers!$I$2:$I$1001)</f>
        <v>No</v>
      </c>
    </row>
    <row r="998" spans="1:16" x14ac:dyDescent="0.2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_xlfn.XLOOKUP(C998,customers!$A$2:$A$1001,customers!$I$2:$I$1001)</f>
        <v>No</v>
      </c>
    </row>
    <row r="999" spans="1:16" x14ac:dyDescent="0.2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_xlfn.XLOOKUP(C999,customers!$A$2:$A$1001,customers!$I$2:$I$1001)</f>
        <v>No</v>
      </c>
    </row>
    <row r="1000" spans="1:16" x14ac:dyDescent="0.2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_xlfn.XLOOKUP(C1000,customers!$A$2:$A$1001,customers!$I$2:$I$1001)</f>
        <v>No</v>
      </c>
    </row>
    <row r="1001" spans="1:16" x14ac:dyDescent="0.2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_xlfn.XLOOKUP(C1001,customers!$A$2:$A$1001,customers!$I$2:$I$1001)</f>
        <v>Yes</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67" workbookViewId="0"/>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opLeftCell="A19" workbookViewId="0"/>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TotalSales</vt:lpstr>
      <vt:lpstr>CountryBarChart</vt:lpstr>
      <vt:lpstr>Top5Customers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Paulo Chu</cp:lastModifiedBy>
  <cp:revision/>
  <dcterms:created xsi:type="dcterms:W3CDTF">2022-11-26T09:51:45Z</dcterms:created>
  <dcterms:modified xsi:type="dcterms:W3CDTF">2025-11-09T11:40:55Z</dcterms:modified>
  <cp:category/>
  <cp:contentStatus/>
</cp:coreProperties>
</file>